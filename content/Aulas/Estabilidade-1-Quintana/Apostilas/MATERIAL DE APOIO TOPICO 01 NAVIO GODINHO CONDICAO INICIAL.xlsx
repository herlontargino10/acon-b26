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QUINTANA GERAL\GERAL 2\CIAGA\CIAGA 2026\1 SEMESTRE 2026\ASON TTM-1 2026\TOPICO 01 TTM-1 CONCEITOS FUNDAMENTAIS FATOR DE ESTIVA (FE) QUEBRA DE ESTIVA (QE) PRESSAO ADMISSIVEL (PA)\"/>
    </mc:Choice>
  </mc:AlternateContent>
  <xr:revisionPtr revIDLastSave="0" documentId="13_ncr:1_{87415826-1B39-4D8E-A8AE-82DA303BD7DC}" xr6:coauthVersionLast="47" xr6:coauthVersionMax="47" xr10:uidLastSave="{00000000-0000-0000-0000-000000000000}"/>
  <bookViews>
    <workbookView xWindow="-120" yWindow="-120" windowWidth="20730" windowHeight="11160" tabRatio="691" xr2:uid="{00000000-000D-0000-FFFF-FFFF00000000}"/>
  </bookViews>
  <sheets>
    <sheet name="CÁLCULO ESTABILIDADE" sheetId="1" r:id="rId1"/>
    <sheet name="MOMENTOS DE EST." sheetId="4" r:id="rId2"/>
    <sheet name="DADOS TQ&amp;PORÃO" sheetId="2" r:id="rId3"/>
    <sheet name="DADOS NAVIO" sheetId="3" r:id="rId4"/>
  </sheets>
  <definedNames>
    <definedName name="_xlnm.Print_Area" localSheetId="0">'CÁLCULO ESTABILIDADE'!$A$1:$AC$51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6" i="1" l="1"/>
  <c r="J23" i="4"/>
  <c r="J24" i="4"/>
  <c r="I23" i="2"/>
  <c r="F23" i="2" s="1"/>
  <c r="I22" i="2"/>
  <c r="F22" i="2" s="1"/>
  <c r="D75" i="1"/>
  <c r="D76" i="1"/>
  <c r="C76" i="1"/>
  <c r="K24" i="4" s="1"/>
  <c r="M24" i="4" s="1"/>
  <c r="C75" i="1"/>
  <c r="D23" i="4" s="1"/>
  <c r="F23" i="4" s="1"/>
  <c r="C74" i="1"/>
  <c r="C4" i="3"/>
  <c r="J26" i="4"/>
  <c r="C26" i="4"/>
  <c r="L3" i="4"/>
  <c r="D24" i="4" l="1"/>
  <c r="F24" i="4" s="1"/>
  <c r="K23" i="4"/>
  <c r="E75" i="1"/>
  <c r="C23" i="4" s="1"/>
  <c r="G23" i="4" s="1"/>
  <c r="E76" i="1"/>
  <c r="C24" i="4" s="1"/>
  <c r="D57" i="1"/>
  <c r="C57" i="1"/>
  <c r="D5" i="4" s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4" i="4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6" i="1"/>
  <c r="C73" i="1"/>
  <c r="D21" i="4" s="1"/>
  <c r="F21" i="4" s="1"/>
  <c r="C72" i="1"/>
  <c r="D20" i="4" s="1"/>
  <c r="F20" i="4" s="1"/>
  <c r="C71" i="1"/>
  <c r="K19" i="4" s="1"/>
  <c r="C70" i="1"/>
  <c r="K18" i="4" s="1"/>
  <c r="C69" i="1"/>
  <c r="K17" i="4" s="1"/>
  <c r="C68" i="1"/>
  <c r="K16" i="4" s="1"/>
  <c r="C67" i="1"/>
  <c r="K15" i="4" s="1"/>
  <c r="C66" i="1"/>
  <c r="D14" i="4" s="1"/>
  <c r="F14" i="4" s="1"/>
  <c r="C65" i="1"/>
  <c r="K13" i="4" s="1"/>
  <c r="C64" i="1"/>
  <c r="D12" i="4" s="1"/>
  <c r="F12" i="4" s="1"/>
  <c r="C63" i="1"/>
  <c r="C62" i="1"/>
  <c r="K10" i="4" s="1"/>
  <c r="C61" i="1"/>
  <c r="K9" i="4" s="1"/>
  <c r="C60" i="1"/>
  <c r="C59" i="1"/>
  <c r="D7" i="4" s="1"/>
  <c r="C58" i="1"/>
  <c r="D6" i="4" s="1"/>
  <c r="K4" i="4"/>
  <c r="K3" i="4"/>
  <c r="J3" i="4"/>
  <c r="M3" i="4" s="1"/>
  <c r="D3" i="4"/>
  <c r="C3" i="4"/>
  <c r="G24" i="4" l="1"/>
  <c r="C77" i="1"/>
  <c r="F30" i="1"/>
  <c r="M23" i="4"/>
  <c r="K11" i="4"/>
  <c r="M11" i="4" s="1"/>
  <c r="G3" i="4"/>
  <c r="M18" i="4"/>
  <c r="M13" i="4"/>
  <c r="M17" i="4"/>
  <c r="M10" i="4"/>
  <c r="M9" i="4"/>
  <c r="M19" i="4"/>
  <c r="M15" i="4"/>
  <c r="M4" i="4"/>
  <c r="D4" i="4"/>
  <c r="E74" i="1"/>
  <c r="E60" i="1"/>
  <c r="K8" i="4"/>
  <c r="M8" i="4" s="1"/>
  <c r="E72" i="1"/>
  <c r="D13" i="4"/>
  <c r="F13" i="4" s="1"/>
  <c r="E68" i="1"/>
  <c r="D11" i="4"/>
  <c r="F11" i="4" s="1"/>
  <c r="E63" i="1"/>
  <c r="D22" i="4"/>
  <c r="F22" i="4" s="1"/>
  <c r="D10" i="4"/>
  <c r="K7" i="4"/>
  <c r="E62" i="1"/>
  <c r="E57" i="1"/>
  <c r="E71" i="1"/>
  <c r="E67" i="1"/>
  <c r="D19" i="4"/>
  <c r="F19" i="4" s="1"/>
  <c r="D8" i="4"/>
  <c r="E56" i="1"/>
  <c r="E61" i="1"/>
  <c r="E58" i="1"/>
  <c r="E70" i="1"/>
  <c r="E66" i="1"/>
  <c r="E59" i="1"/>
  <c r="K22" i="4"/>
  <c r="E69" i="1"/>
  <c r="E65" i="1"/>
  <c r="E73" i="1"/>
  <c r="M16" i="4"/>
  <c r="E64" i="1"/>
  <c r="K12" i="4"/>
  <c r="D16" i="4"/>
  <c r="F16" i="4" s="1"/>
  <c r="D15" i="4"/>
  <c r="F15" i="4" s="1"/>
  <c r="K14" i="4"/>
  <c r="D18" i="4"/>
  <c r="F18" i="4" s="1"/>
  <c r="D17" i="4"/>
  <c r="F17" i="4" s="1"/>
  <c r="K21" i="4"/>
  <c r="K20" i="4"/>
  <c r="D9" i="4"/>
  <c r="K6" i="4"/>
  <c r="K5" i="4"/>
  <c r="F28" i="1" l="1"/>
  <c r="F29" i="1" s="1"/>
  <c r="F31" i="1" s="1"/>
  <c r="K25" i="4"/>
  <c r="E77" i="1"/>
  <c r="F32" i="1" s="1"/>
  <c r="D25" i="4"/>
  <c r="C28" i="3" s="1"/>
  <c r="C30" i="3" s="1"/>
  <c r="F25" i="4"/>
  <c r="M5" i="4"/>
  <c r="M21" i="4"/>
  <c r="M6" i="4"/>
  <c r="M7" i="4"/>
  <c r="M20" i="4"/>
  <c r="M14" i="4"/>
  <c r="M22" i="4"/>
  <c r="M12" i="4"/>
  <c r="M25" i="4" l="1"/>
  <c r="Q41" i="1" s="1"/>
  <c r="E24" i="4"/>
  <c r="E23" i="4"/>
  <c r="C28" i="4"/>
  <c r="F46" i="1" s="1"/>
  <c r="F42" i="1"/>
  <c r="C32" i="3"/>
  <c r="C27" i="3"/>
  <c r="C29" i="3"/>
  <c r="C33" i="3"/>
  <c r="C31" i="3"/>
  <c r="J28" i="4" s="1"/>
  <c r="C25" i="3"/>
  <c r="I11" i="2"/>
  <c r="I12" i="2"/>
  <c r="I13" i="2"/>
  <c r="I14" i="2"/>
  <c r="I15" i="2"/>
  <c r="I16" i="2"/>
  <c r="I17" i="2"/>
  <c r="I18" i="2"/>
  <c r="I19" i="2"/>
  <c r="I20" i="2"/>
  <c r="I21" i="2"/>
  <c r="I10" i="2"/>
  <c r="I4" i="2"/>
  <c r="C5" i="4" s="1"/>
  <c r="G5" i="4" s="1"/>
  <c r="I5" i="2"/>
  <c r="C6" i="4" s="1"/>
  <c r="G6" i="4" s="1"/>
  <c r="I6" i="2"/>
  <c r="C7" i="4" s="1"/>
  <c r="G7" i="4" s="1"/>
  <c r="I7" i="2"/>
  <c r="C8" i="4" s="1"/>
  <c r="G8" i="4" s="1"/>
  <c r="I8" i="2"/>
  <c r="C9" i="4" s="1"/>
  <c r="G9" i="4" s="1"/>
  <c r="I9" i="2"/>
  <c r="C10" i="4" s="1"/>
  <c r="G10" i="4" s="1"/>
  <c r="I3" i="2"/>
  <c r="C4" i="4" s="1"/>
  <c r="G4" i="4" s="1"/>
  <c r="F11" i="2" l="1"/>
  <c r="E12" i="4" s="1"/>
  <c r="C12" i="4"/>
  <c r="G12" i="4" s="1"/>
  <c r="F10" i="2"/>
  <c r="E11" i="4" s="1"/>
  <c r="C11" i="4"/>
  <c r="G11" i="4" s="1"/>
  <c r="F18" i="2"/>
  <c r="E19" i="4" s="1"/>
  <c r="C19" i="4"/>
  <c r="G19" i="4" s="1"/>
  <c r="F14" i="2"/>
  <c r="E15" i="4" s="1"/>
  <c r="C15" i="4"/>
  <c r="G15" i="4" s="1"/>
  <c r="F19" i="2"/>
  <c r="E20" i="4" s="1"/>
  <c r="C20" i="4"/>
  <c r="G20" i="4" s="1"/>
  <c r="F21" i="2"/>
  <c r="E22" i="4" s="1"/>
  <c r="C22" i="4"/>
  <c r="G22" i="4" s="1"/>
  <c r="F17" i="2"/>
  <c r="E18" i="4" s="1"/>
  <c r="C18" i="4"/>
  <c r="G18" i="4" s="1"/>
  <c r="F13" i="2"/>
  <c r="E14" i="4" s="1"/>
  <c r="C14" i="4"/>
  <c r="G14" i="4" s="1"/>
  <c r="F15" i="2"/>
  <c r="E16" i="4" s="1"/>
  <c r="C16" i="4"/>
  <c r="G16" i="4" s="1"/>
  <c r="F20" i="2"/>
  <c r="E21" i="4" s="1"/>
  <c r="C21" i="4"/>
  <c r="G21" i="4" s="1"/>
  <c r="F16" i="2"/>
  <c r="E17" i="4" s="1"/>
  <c r="C17" i="4"/>
  <c r="G17" i="4" s="1"/>
  <c r="F12" i="2"/>
  <c r="E13" i="4" s="1"/>
  <c r="C13" i="4"/>
  <c r="G13" i="4" s="1"/>
  <c r="L9" i="4"/>
  <c r="L24" i="4"/>
  <c r="L23" i="4"/>
  <c r="J27" i="4"/>
  <c r="J29" i="4" s="1"/>
  <c r="C36" i="3"/>
  <c r="C35" i="3"/>
  <c r="L10" i="4"/>
  <c r="L19" i="4"/>
  <c r="L4" i="4"/>
  <c r="L13" i="4"/>
  <c r="L11" i="4"/>
  <c r="L16" i="4"/>
  <c r="L18" i="4"/>
  <c r="L17" i="4"/>
  <c r="L15" i="4"/>
  <c r="L5" i="4"/>
  <c r="L7" i="4"/>
  <c r="L22" i="4"/>
  <c r="L14" i="4"/>
  <c r="L20" i="4"/>
  <c r="L8" i="4"/>
  <c r="L21" i="4"/>
  <c r="L12" i="4"/>
  <c r="L6" i="4"/>
  <c r="G25" i="4" l="1"/>
  <c r="C27" i="4" s="1"/>
  <c r="E25" i="4"/>
  <c r="F44" i="1" s="1"/>
  <c r="L25" i="4"/>
  <c r="Q44" i="1" s="1"/>
  <c r="J30" i="4"/>
  <c r="J31" i="4" s="1"/>
  <c r="F41" i="1" l="1"/>
  <c r="F43" i="1" s="1"/>
  <c r="F45" i="1" s="1"/>
  <c r="C29" i="4"/>
  <c r="C30" i="4" s="1"/>
  <c r="C31" i="4" s="1"/>
  <c r="F47" i="1" s="1"/>
  <c r="Q42" i="1"/>
  <c r="J32" i="4"/>
  <c r="Q43" i="1" s="1"/>
  <c r="Q47" i="1" l="1"/>
</calcChain>
</file>

<file path=xl/sharedStrings.xml><?xml version="1.0" encoding="utf-8"?>
<sst xmlns="http://schemas.openxmlformats.org/spreadsheetml/2006/main" count="223" uniqueCount="127">
  <si>
    <t>BB</t>
  </si>
  <si>
    <t>BE</t>
  </si>
  <si>
    <t>PORÃO 1</t>
  </si>
  <si>
    <t>PORÃO 2</t>
  </si>
  <si>
    <t>PORÃO 3</t>
  </si>
  <si>
    <t>PORÃO 4</t>
  </si>
  <si>
    <t>PORÃO 5</t>
  </si>
  <si>
    <t>PORÃO 6</t>
  </si>
  <si>
    <t>PORÃO 7</t>
  </si>
  <si>
    <t>CENTRAL</t>
  </si>
  <si>
    <t>Tanque/Porão</t>
  </si>
  <si>
    <t>Momento de inércia</t>
  </si>
  <si>
    <t>Porão 1</t>
  </si>
  <si>
    <t>Porão 2</t>
  </si>
  <si>
    <t>Porão 3</t>
  </si>
  <si>
    <t>Porão 4</t>
  </si>
  <si>
    <t>Porão 5</t>
  </si>
  <si>
    <t>Porão 6</t>
  </si>
  <si>
    <t>Porão 7</t>
  </si>
  <si>
    <t>FATOR DE ESTIVA</t>
  </si>
  <si>
    <t>TQ BB1</t>
  </si>
  <si>
    <t>TQ CE1</t>
  </si>
  <si>
    <t>TQ BE1</t>
  </si>
  <si>
    <t>TQ BB2</t>
  </si>
  <si>
    <t>TQ CE2</t>
  </si>
  <si>
    <t>TQ BE2</t>
  </si>
  <si>
    <t>TQ BB3</t>
  </si>
  <si>
    <t>TQ CE3</t>
  </si>
  <si>
    <t>TQ BE3</t>
  </si>
  <si>
    <t>TQ BB4</t>
  </si>
  <si>
    <t>TQ CE4</t>
  </si>
  <si>
    <t>TQ BE4</t>
  </si>
  <si>
    <t>Nome</t>
  </si>
  <si>
    <t>Distância Longitudinal do CG</t>
  </si>
  <si>
    <t>-</t>
  </si>
  <si>
    <t>LPP (m)</t>
  </si>
  <si>
    <t>Desloc Leve (t)</t>
  </si>
  <si>
    <t>Calado Leve (m)</t>
  </si>
  <si>
    <t>KG Leve (m)</t>
  </si>
  <si>
    <t>LCG Leve (m)</t>
  </si>
  <si>
    <t>TPC Leve (t/cm)</t>
  </si>
  <si>
    <t>MCC Leve (t.m/cm)</t>
  </si>
  <si>
    <t>PORÕES</t>
  </si>
  <si>
    <t>TANQUES</t>
  </si>
  <si>
    <t>Distância Lateral do CG</t>
  </si>
  <si>
    <t>CÁLCULOS DE ESTABILIDADE DO NAVIO</t>
  </si>
  <si>
    <t>KG</t>
  </si>
  <si>
    <t>LCG</t>
  </si>
  <si>
    <t>GM</t>
  </si>
  <si>
    <t>Desloc Verão (t)</t>
  </si>
  <si>
    <t>KM Leve (m)</t>
  </si>
  <si>
    <t>Calado Verão (m)</t>
  </si>
  <si>
    <t>KM Verão (m)</t>
  </si>
  <si>
    <t>TPC Verão (t/cm)</t>
  </si>
  <si>
    <t>Boca (m)</t>
  </si>
  <si>
    <t>MCC Verão (t.m/cm)</t>
  </si>
  <si>
    <t xml:space="preserve">Volume total </t>
  </si>
  <si>
    <t>Altura p/ quilha</t>
  </si>
  <si>
    <t>Base x Comprimento</t>
  </si>
  <si>
    <t>Altura</t>
  </si>
  <si>
    <t>Porte Bruto Verão</t>
  </si>
  <si>
    <t>(valores aproximados da tabela de dados hidrostáticos)</t>
  </si>
  <si>
    <t>ESTABILIDADE LONGITUDINAL</t>
  </si>
  <si>
    <t>ESTABILIDADE TRANSVERSAL</t>
  </si>
  <si>
    <t>GGv</t>
  </si>
  <si>
    <t>GM Corrigido</t>
  </si>
  <si>
    <t>Hav</t>
  </si>
  <si>
    <t>Har</t>
  </si>
  <si>
    <t>Hm</t>
  </si>
  <si>
    <t>Trim</t>
  </si>
  <si>
    <t>GG2</t>
  </si>
  <si>
    <t>Estabilidade Transversal</t>
  </si>
  <si>
    <t>Navio Leve</t>
  </si>
  <si>
    <t>Estabilidade Longitudinal</t>
  </si>
  <si>
    <t>TOTAL</t>
  </si>
  <si>
    <t>Kg (m)</t>
  </si>
  <si>
    <t>Peso (t)</t>
  </si>
  <si>
    <t>Momento Transversal (t.m)</t>
  </si>
  <si>
    <t>LCG (m)</t>
  </si>
  <si>
    <t>Momento Longitudinal (t.m)</t>
  </si>
  <si>
    <t>PESO</t>
  </si>
  <si>
    <t>FE ou PESO ESP</t>
  </si>
  <si>
    <t>VOLUME</t>
  </si>
  <si>
    <t>DESLOCAMENTO (Verão)</t>
  </si>
  <si>
    <t>GGv (m)</t>
  </si>
  <si>
    <t>Porte Bruto (t)</t>
  </si>
  <si>
    <t>Imersão (m)</t>
  </si>
  <si>
    <t>KM</t>
  </si>
  <si>
    <t>Aranha-B Verão (m)</t>
  </si>
  <si>
    <t>Aranha-F Verão (m)</t>
  </si>
  <si>
    <t>Aranha-B Leve (m)</t>
  </si>
  <si>
    <t>Aranha-F Leve (m)</t>
  </si>
  <si>
    <t>Hmed (m)</t>
  </si>
  <si>
    <t>Deslocamento (t)</t>
  </si>
  <si>
    <t>TPC (t/cm)</t>
  </si>
  <si>
    <t>KM (m)</t>
  </si>
  <si>
    <t>Aranha-B (m)</t>
  </si>
  <si>
    <t>Aranha-F (m)</t>
  </si>
  <si>
    <t>MCC (t.m/cm)</t>
  </si>
  <si>
    <t>Deslocamento Atual (t)</t>
  </si>
  <si>
    <t>INTERPOLAÇÃO</t>
  </si>
  <si>
    <t>Porte Comerciável (t)</t>
  </si>
  <si>
    <t>Volume Total (m3)</t>
  </si>
  <si>
    <t>LPP/2 (m)</t>
  </si>
  <si>
    <t>Lpp/2 + Aranha-F</t>
  </si>
  <si>
    <t>Lpp/2 - Aranha-F</t>
  </si>
  <si>
    <t>Vav (m)</t>
  </si>
  <si>
    <t>Var (m)</t>
  </si>
  <si>
    <t>Variação Total VT (m)</t>
  </si>
  <si>
    <t>BG</t>
  </si>
  <si>
    <t>LCB</t>
  </si>
  <si>
    <t>Momento de Banda (t.m)</t>
  </si>
  <si>
    <r>
      <t xml:space="preserve">GM </t>
    </r>
    <r>
      <rPr>
        <sz val="12"/>
        <color theme="1"/>
        <rFont val="Calibri"/>
        <family val="2"/>
        <scheme val="minor"/>
      </rPr>
      <t>Corrigido</t>
    </r>
  </si>
  <si>
    <t>tg(b)</t>
  </si>
  <si>
    <t>Ângulo de Banda</t>
  </si>
  <si>
    <t>&gt; 0 BE                              &lt; 0 BB</t>
  </si>
  <si>
    <t>PESO ESPECíFICO</t>
  </si>
  <si>
    <t>Feito por: Samuel Godinho.</t>
  </si>
  <si>
    <t>Porte Operacional (t)</t>
  </si>
  <si>
    <t>PBM = 75622t</t>
  </si>
  <si>
    <t>INSTRUÇÕES: Dentro das células abaixo insira os valores dos respectivos pesos embarcados em cada tanque e/ou porão. E, nas células abaixo da imagem do navio devem ser inseridos os respectivos fatores de estiva e/ou peso específico de cada carga. A planilha calculará os valores de estabilidade e exibirá abaixo, basta rolar a planilha para baixo. OS VALORES UTILIZADOS FORAM RETIRADOS DA TABELA DE DADOS HIDROSTÁTICOS DE UM NAVIO PANAMAX E NEM TODOS OS VALORES SÃO EXATOS OU PRECISOS. Feita por Samuel Godinho.</t>
  </si>
  <si>
    <t>FPTank</t>
  </si>
  <si>
    <t>APTank</t>
  </si>
  <si>
    <t>Constante Operacional (t)</t>
  </si>
  <si>
    <t>NAVIO GODINHO 2022</t>
  </si>
  <si>
    <t>)o(G</t>
  </si>
  <si>
    <t>MV GODINHO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</si>
</sst>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0" fillId="0" borderId="0" xfId="0" applyAlignment="1">
      <alignment vertical="center"/>
    </xf>
    <xf numFmtId="0" fontId="0" fillId="3" borderId="1" xfId="0" applyFill="1" applyBorder="1"/>
    <xf numFmtId="0" fontId="0" fillId="8" borderId="1" xfId="0" applyFill="1" applyBorder="1"/>
    <xf numFmtId="0" fontId="0" fillId="4" borderId="1" xfId="0" applyFill="1" applyBorder="1"/>
    <xf numFmtId="0" fontId="0" fillId="11" borderId="1" xfId="0" applyFill="1" applyBorder="1"/>
    <xf numFmtId="0" fontId="0" fillId="10" borderId="1" xfId="0" applyFill="1" applyBorder="1" applyAlignment="1">
      <alignment horizontal="center" vertical="center"/>
    </xf>
    <xf numFmtId="0" fontId="0" fillId="12" borderId="1" xfId="0" applyFill="1" applyBorder="1"/>
    <xf numFmtId="0" fontId="0" fillId="11" borderId="0" xfId="0" applyFill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5" borderId="0" xfId="0" applyFill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64" fontId="0" fillId="0" borderId="0" xfId="0" applyNumberFormat="1"/>
    <xf numFmtId="164" fontId="0" fillId="15" borderId="0" xfId="0" applyNumberFormat="1" applyFill="1"/>
    <xf numFmtId="164" fontId="0" fillId="15" borderId="1" xfId="0" applyNumberFormat="1" applyFill="1" applyBorder="1"/>
    <xf numFmtId="0" fontId="1" fillId="0" borderId="0" xfId="0" applyFont="1"/>
    <xf numFmtId="0" fontId="0" fillId="18" borderId="1" xfId="0" applyFill="1" applyBorder="1"/>
    <xf numFmtId="0" fontId="0" fillId="10" borderId="1" xfId="0" applyFill="1" applyBorder="1"/>
    <xf numFmtId="2" fontId="0" fillId="0" borderId="0" xfId="0" applyNumberFormat="1"/>
    <xf numFmtId="0" fontId="4" fillId="0" borderId="1" xfId="0" applyFont="1" applyBorder="1"/>
    <xf numFmtId="164" fontId="0" fillId="10" borderId="1" xfId="0" applyNumberFormat="1" applyFill="1" applyBorder="1"/>
    <xf numFmtId="164" fontId="0" fillId="10" borderId="1" xfId="0" applyNumberFormat="1" applyFill="1" applyBorder="1" applyAlignment="1">
      <alignment horizontal="center" vertical="center"/>
    </xf>
    <xf numFmtId="164" fontId="0" fillId="14" borderId="1" xfId="0" applyNumberFormat="1" applyFill="1" applyBorder="1"/>
    <xf numFmtId="164" fontId="0" fillId="18" borderId="1" xfId="0" applyNumberFormat="1" applyFill="1" applyBorder="1"/>
    <xf numFmtId="164" fontId="0" fillId="17" borderId="1" xfId="0" applyNumberFormat="1" applyFill="1" applyBorder="1"/>
    <xf numFmtId="164" fontId="0" fillId="18" borderId="9" xfId="0" applyNumberFormat="1" applyFill="1" applyBorder="1"/>
    <xf numFmtId="164" fontId="0" fillId="17" borderId="9" xfId="0" applyNumberFormat="1" applyFill="1" applyBorder="1"/>
    <xf numFmtId="164" fontId="0" fillId="17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15" borderId="1" xfId="0" applyFont="1" applyFill="1" applyBorder="1"/>
    <xf numFmtId="0" fontId="0" fillId="19" borderId="1" xfId="0" applyFill="1" applyBorder="1"/>
    <xf numFmtId="0" fontId="0" fillId="19" borderId="0" xfId="0" applyFill="1"/>
    <xf numFmtId="0" fontId="0" fillId="0" borderId="1" xfId="0" applyBorder="1" applyAlignment="1">
      <alignment horizontal="right"/>
    </xf>
    <xf numFmtId="0" fontId="0" fillId="20" borderId="1" xfId="0" applyFill="1" applyBorder="1"/>
    <xf numFmtId="0" fontId="9" fillId="0" borderId="0" xfId="0" applyFont="1" applyAlignment="1">
      <alignment horizontal="center" wrapText="1"/>
    </xf>
    <xf numFmtId="0" fontId="0" fillId="21" borderId="0" xfId="0" applyFill="1"/>
    <xf numFmtId="0" fontId="0" fillId="0" borderId="2" xfId="0" applyBorder="1"/>
    <xf numFmtId="0" fontId="0" fillId="0" borderId="12" xfId="0" applyBorder="1"/>
    <xf numFmtId="0" fontId="0" fillId="0" borderId="11" xfId="0" applyBorder="1"/>
    <xf numFmtId="0" fontId="0" fillId="0" borderId="5" xfId="0" applyBorder="1"/>
    <xf numFmtId="0" fontId="0" fillId="0" borderId="3" xfId="0" applyBorder="1"/>
    <xf numFmtId="0" fontId="0" fillId="0" borderId="8" xfId="0" applyBorder="1"/>
    <xf numFmtId="0" fontId="0" fillId="0" borderId="4" xfId="0" applyBorder="1"/>
    <xf numFmtId="0" fontId="0" fillId="0" borderId="13" xfId="0" applyBorder="1"/>
    <xf numFmtId="0" fontId="9" fillId="0" borderId="0" xfId="0" applyFont="1"/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3" fillId="19" borderId="7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right" vertical="center"/>
    </xf>
    <xf numFmtId="164" fontId="0" fillId="23" borderId="1" xfId="0" applyNumberFormat="1" applyFill="1" applyBorder="1" applyAlignment="1">
      <alignment horizontal="center" vertical="center"/>
    </xf>
    <xf numFmtId="164" fontId="0" fillId="23" borderId="1" xfId="0" applyNumberFormat="1" applyFill="1" applyBorder="1"/>
    <xf numFmtId="164" fontId="0" fillId="23" borderId="1" xfId="0" applyNumberFormat="1" applyFill="1" applyBorder="1" applyAlignment="1">
      <alignment horizontal="right" vertical="center"/>
    </xf>
    <xf numFmtId="0" fontId="3" fillId="0" borderId="0" xfId="0" applyFont="1"/>
    <xf numFmtId="164" fontId="0" fillId="24" borderId="1" xfId="0" applyNumberFormat="1" applyFill="1" applyBorder="1"/>
    <xf numFmtId="164" fontId="1" fillId="2" borderId="11" xfId="0" applyNumberFormat="1" applyFont="1" applyFill="1" applyBorder="1" applyAlignment="1">
      <alignment horizontal="center" vertical="center"/>
    </xf>
    <xf numFmtId="164" fontId="1" fillId="2" borderId="12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1" fillId="8" borderId="11" xfId="0" applyNumberFormat="1" applyFont="1" applyFill="1" applyBorder="1" applyAlignment="1">
      <alignment horizontal="center" vertical="center"/>
    </xf>
    <xf numFmtId="164" fontId="1" fillId="8" borderId="2" xfId="0" applyNumberFormat="1" applyFont="1" applyFill="1" applyBorder="1" applyAlignment="1">
      <alignment horizontal="center" vertical="center"/>
    </xf>
    <xf numFmtId="164" fontId="1" fillId="8" borderId="12" xfId="0" applyNumberFormat="1" applyFont="1" applyFill="1" applyBorder="1" applyAlignment="1">
      <alignment horizontal="center" vertical="center"/>
    </xf>
    <xf numFmtId="164" fontId="1" fillId="8" borderId="8" xfId="0" applyNumberFormat="1" applyFont="1" applyFill="1" applyBorder="1" applyAlignment="1">
      <alignment horizontal="center" vertical="center"/>
    </xf>
    <xf numFmtId="164" fontId="1" fillId="8" borderId="4" xfId="0" applyNumberFormat="1" applyFont="1" applyFill="1" applyBorder="1" applyAlignment="1">
      <alignment horizontal="center" vertical="center"/>
    </xf>
    <xf numFmtId="164" fontId="1" fillId="8" borderId="1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9" fillId="2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horizontal="center" vertical="center"/>
    </xf>
    <xf numFmtId="164" fontId="1" fillId="4" borderId="12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4" fontId="1" fillId="4" borderId="4" xfId="0" applyNumberFormat="1" applyFont="1" applyFill="1" applyBorder="1" applyAlignment="1">
      <alignment horizontal="center" vertical="center"/>
    </xf>
    <xf numFmtId="164" fontId="1" fillId="4" borderId="13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164" fontId="1" fillId="3" borderId="7" xfId="0" applyNumberFormat="1" applyFont="1" applyFill="1" applyBorder="1" applyAlignment="1">
      <alignment horizontal="center" vertical="center"/>
    </xf>
    <xf numFmtId="164" fontId="1" fillId="8" borderId="14" xfId="0" applyNumberFormat="1" applyFont="1" applyFill="1" applyBorder="1" applyAlignment="1">
      <alignment horizontal="center" vertical="center"/>
    </xf>
    <xf numFmtId="164" fontId="1" fillId="8" borderId="15" xfId="0" applyNumberFormat="1" applyFont="1" applyFill="1" applyBorder="1" applyAlignment="1">
      <alignment horizontal="center" vertical="center"/>
    </xf>
    <xf numFmtId="164" fontId="1" fillId="8" borderId="7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7" xfId="0" applyNumberFormat="1" applyFont="1" applyFill="1" applyBorder="1" applyAlignment="1">
      <alignment horizontal="center" vertical="center"/>
    </xf>
    <xf numFmtId="164" fontId="1" fillId="3" borderId="1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center" vertical="center"/>
    </xf>
    <xf numFmtId="164" fontId="1" fillId="3" borderId="8" xfId="0" applyNumberFormat="1" applyFont="1" applyFill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164" fontId="1" fillId="3" borderId="13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164" fontId="1" fillId="22" borderId="1" xfId="0" applyNumberFormat="1" applyFont="1" applyFill="1" applyBorder="1" applyAlignment="1">
      <alignment horizontal="center" vertical="center"/>
    </xf>
    <xf numFmtId="164" fontId="1" fillId="19" borderId="9" xfId="0" applyNumberFormat="1" applyFont="1" applyFill="1" applyBorder="1" applyAlignment="1">
      <alignment horizontal="center" vertical="center"/>
    </xf>
    <xf numFmtId="164" fontId="1" fillId="19" borderId="6" xfId="0" applyNumberFormat="1" applyFont="1" applyFill="1" applyBorder="1" applyAlignment="1">
      <alignment horizontal="center" vertical="center"/>
    </xf>
    <xf numFmtId="164" fontId="1" fillId="19" borderId="10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1" fillId="19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12" fillId="16" borderId="14" xfId="0" applyFont="1" applyFill="1" applyBorder="1" applyAlignment="1">
      <alignment horizontal="center" vertical="center"/>
    </xf>
    <xf numFmtId="0" fontId="12" fillId="16" borderId="15" xfId="0" applyFont="1" applyFill="1" applyBorder="1" applyAlignment="1">
      <alignment horizontal="center" vertical="center"/>
    </xf>
    <xf numFmtId="0" fontId="12" fillId="16" borderId="1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11" fillId="0" borderId="14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1" fillId="0" borderId="7" xfId="0" applyNumberFormat="1" applyFont="1" applyBorder="1" applyAlignment="1">
      <alignment horizontal="center"/>
    </xf>
    <xf numFmtId="164" fontId="0" fillId="18" borderId="14" xfId="0" applyNumberFormat="1" applyFill="1" applyBorder="1" applyAlignment="1">
      <alignment horizontal="center"/>
    </xf>
    <xf numFmtId="164" fontId="0" fillId="18" borderId="7" xfId="0" applyNumberFormat="1" applyFill="1" applyBorder="1" applyAlignment="1">
      <alignment horizontal="center"/>
    </xf>
    <xf numFmtId="164" fontId="0" fillId="17" borderId="14" xfId="0" applyNumberFormat="1" applyFill="1" applyBorder="1" applyAlignment="1">
      <alignment horizontal="center"/>
    </xf>
    <xf numFmtId="164" fontId="0" fillId="17" borderId="7" xfId="0" applyNumberFormat="1" applyFill="1" applyBorder="1" applyAlignment="1">
      <alignment horizontal="center"/>
    </xf>
    <xf numFmtId="0" fontId="10" fillId="0" borderId="1" xfId="0" applyFont="1" applyBorder="1" applyAlignment="1">
      <alignment horizontal="center" vertical="center" textRotation="45"/>
    </xf>
    <xf numFmtId="0" fontId="0" fillId="0" borderId="4" xfId="0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1600</xdr:colOff>
      <xdr:row>5</xdr:row>
      <xdr:rowOff>187599</xdr:rowOff>
    </xdr:from>
    <xdr:to>
      <xdr:col>24</xdr:col>
      <xdr:colOff>526677</xdr:colOff>
      <xdr:row>19</xdr:row>
      <xdr:rowOff>1</xdr:rowOff>
    </xdr:to>
    <xdr:sp macro="" textlink="">
      <xdr:nvSpPr>
        <xdr:cNvPr id="8" name="Forma Livre: Forma 7">
          <a:extLst>
            <a:ext uri="{FF2B5EF4-FFF2-40B4-BE49-F238E27FC236}">
              <a16:creationId xmlns:a16="http://schemas.microsoft.com/office/drawing/2014/main" id="{3990C4D4-31D1-42B0-B89A-D3A6BF93103A}"/>
            </a:ext>
          </a:extLst>
        </xdr:cNvPr>
        <xdr:cNvSpPr/>
      </xdr:nvSpPr>
      <xdr:spPr>
        <a:xfrm>
          <a:off x="12043921" y="1153706"/>
          <a:ext cx="2362042" cy="2479402"/>
        </a:xfrm>
        <a:custGeom>
          <a:avLst/>
          <a:gdLst>
            <a:gd name="connsiteX0" fmla="*/ 0 w 2745442"/>
            <a:gd name="connsiteY0" fmla="*/ 2585529 h 2585529"/>
            <a:gd name="connsiteX1" fmla="*/ 0 w 2745442"/>
            <a:gd name="connsiteY1" fmla="*/ 109029 h 2585529"/>
            <a:gd name="connsiteX2" fmla="*/ 0 w 2745442"/>
            <a:gd name="connsiteY2" fmla="*/ 109029 h 2585529"/>
            <a:gd name="connsiteX3" fmla="*/ 2745441 w 2745442"/>
            <a:gd name="connsiteY3" fmla="*/ 209882 h 2585529"/>
            <a:gd name="connsiteX4" fmla="*/ 0 w 2745442"/>
            <a:gd name="connsiteY4" fmla="*/ 2585529 h 2585529"/>
            <a:gd name="connsiteX0" fmla="*/ 0 w 2706591"/>
            <a:gd name="connsiteY0" fmla="*/ 2476500 h 2476500"/>
            <a:gd name="connsiteX1" fmla="*/ 0 w 2706591"/>
            <a:gd name="connsiteY1" fmla="*/ 0 h 2476500"/>
            <a:gd name="connsiteX2" fmla="*/ 0 w 2706591"/>
            <a:gd name="connsiteY2" fmla="*/ 0 h 2476500"/>
            <a:gd name="connsiteX3" fmla="*/ 2706590 w 2706591"/>
            <a:gd name="connsiteY3" fmla="*/ 347094 h 2476500"/>
            <a:gd name="connsiteX4" fmla="*/ 0 w 2706591"/>
            <a:gd name="connsiteY4" fmla="*/ 2476500 h 24765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706591" h="2476500">
              <a:moveTo>
                <a:pt x="0" y="2476500"/>
              </a:moveTo>
              <a:lnTo>
                <a:pt x="0" y="0"/>
              </a:lnTo>
              <a:lnTo>
                <a:pt x="0" y="0"/>
              </a:lnTo>
              <a:cubicBezTo>
                <a:pt x="457574" y="16809"/>
                <a:pt x="2704722" y="-67524"/>
                <a:pt x="2706590" y="347094"/>
              </a:cubicBezTo>
              <a:cubicBezTo>
                <a:pt x="2708458" y="761712"/>
                <a:pt x="1379257" y="1501588"/>
                <a:pt x="0" y="2476500"/>
              </a:cubicBezTo>
              <a:close/>
            </a:path>
          </a:pathLst>
        </a:custGeom>
        <a:solidFill>
          <a:schemeClr val="tx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952601</xdr:colOff>
      <xdr:row>6</xdr:row>
      <xdr:rowOff>0</xdr:rowOff>
    </xdr:from>
    <xdr:to>
      <xdr:col>5</xdr:col>
      <xdr:colOff>22412</xdr:colOff>
      <xdr:row>19</xdr:row>
      <xdr:rowOff>0</xdr:rowOff>
    </xdr:to>
    <xdr:sp macro="" textlink="">
      <xdr:nvSpPr>
        <xdr:cNvPr id="13" name="Retângulo: Único Canto Recortado 12">
          <a:extLst>
            <a:ext uri="{FF2B5EF4-FFF2-40B4-BE49-F238E27FC236}">
              <a16:creationId xmlns:a16="http://schemas.microsoft.com/office/drawing/2014/main" id="{F721EE55-4F99-4B3F-9E6C-B7B64B9492F9}"/>
            </a:ext>
          </a:extLst>
        </xdr:cNvPr>
        <xdr:cNvSpPr/>
      </xdr:nvSpPr>
      <xdr:spPr>
        <a:xfrm rot="10800000">
          <a:off x="3325192" y="2389909"/>
          <a:ext cx="1199947" cy="2476500"/>
        </a:xfrm>
        <a:prstGeom prst="snip1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17317</xdr:colOff>
      <xdr:row>16</xdr:row>
      <xdr:rowOff>112055</xdr:rowOff>
    </xdr:from>
    <xdr:to>
      <xdr:col>22</xdr:col>
      <xdr:colOff>537881</xdr:colOff>
      <xdr:row>18</xdr:row>
      <xdr:rowOff>190496</xdr:rowOff>
    </xdr:to>
    <xdr:sp macro="" textlink="">
      <xdr:nvSpPr>
        <xdr:cNvPr id="14" name="Fluxograma: Dados Armazenados 13">
          <a:extLst>
            <a:ext uri="{FF2B5EF4-FFF2-40B4-BE49-F238E27FC236}">
              <a16:creationId xmlns:a16="http://schemas.microsoft.com/office/drawing/2014/main" id="{919E3648-0175-4939-95BC-56D8254FFD10}"/>
            </a:ext>
          </a:extLst>
        </xdr:cNvPr>
        <xdr:cNvSpPr/>
      </xdr:nvSpPr>
      <xdr:spPr>
        <a:xfrm rot="10800000">
          <a:off x="15950044" y="4406964"/>
          <a:ext cx="1126701" cy="459441"/>
        </a:xfrm>
        <a:custGeom>
          <a:avLst/>
          <a:gdLst>
            <a:gd name="connsiteX0" fmla="*/ 1667 w 10000"/>
            <a:gd name="connsiteY0" fmla="*/ 0 h 10000"/>
            <a:gd name="connsiteX1" fmla="*/ 10000 w 10000"/>
            <a:gd name="connsiteY1" fmla="*/ 0 h 10000"/>
            <a:gd name="connsiteX2" fmla="*/ 8333 w 10000"/>
            <a:gd name="connsiteY2" fmla="*/ 5000 h 10000"/>
            <a:gd name="connsiteX3" fmla="*/ 10000 w 10000"/>
            <a:gd name="connsiteY3" fmla="*/ 10000 h 10000"/>
            <a:gd name="connsiteX4" fmla="*/ 1667 w 10000"/>
            <a:gd name="connsiteY4" fmla="*/ 10000 h 10000"/>
            <a:gd name="connsiteX5" fmla="*/ 0 w 10000"/>
            <a:gd name="connsiteY5" fmla="*/ 5000 h 10000"/>
            <a:gd name="connsiteX6" fmla="*/ 1667 w 10000"/>
            <a:gd name="connsiteY6" fmla="*/ 0 h 10000"/>
            <a:gd name="connsiteX0" fmla="*/ 1667 w 10000"/>
            <a:gd name="connsiteY0" fmla="*/ 0 h 10000"/>
            <a:gd name="connsiteX1" fmla="*/ 10000 w 10000"/>
            <a:gd name="connsiteY1" fmla="*/ 0 h 10000"/>
            <a:gd name="connsiteX2" fmla="*/ 9920 w 10000"/>
            <a:gd name="connsiteY2" fmla="*/ 5000 h 10000"/>
            <a:gd name="connsiteX3" fmla="*/ 10000 w 10000"/>
            <a:gd name="connsiteY3" fmla="*/ 10000 h 10000"/>
            <a:gd name="connsiteX4" fmla="*/ 1667 w 10000"/>
            <a:gd name="connsiteY4" fmla="*/ 10000 h 10000"/>
            <a:gd name="connsiteX5" fmla="*/ 0 w 10000"/>
            <a:gd name="connsiteY5" fmla="*/ 5000 h 10000"/>
            <a:gd name="connsiteX6" fmla="*/ 1667 w 10000"/>
            <a:gd name="connsiteY6" fmla="*/ 0 h 10000"/>
            <a:gd name="connsiteX0" fmla="*/ 1667 w 10317"/>
            <a:gd name="connsiteY0" fmla="*/ 250 h 10250"/>
            <a:gd name="connsiteX1" fmla="*/ 10317 w 10317"/>
            <a:gd name="connsiteY1" fmla="*/ 0 h 10250"/>
            <a:gd name="connsiteX2" fmla="*/ 9920 w 10317"/>
            <a:gd name="connsiteY2" fmla="*/ 5250 h 10250"/>
            <a:gd name="connsiteX3" fmla="*/ 10000 w 10317"/>
            <a:gd name="connsiteY3" fmla="*/ 10250 h 10250"/>
            <a:gd name="connsiteX4" fmla="*/ 1667 w 10317"/>
            <a:gd name="connsiteY4" fmla="*/ 10250 h 10250"/>
            <a:gd name="connsiteX5" fmla="*/ 0 w 10317"/>
            <a:gd name="connsiteY5" fmla="*/ 5250 h 10250"/>
            <a:gd name="connsiteX6" fmla="*/ 1667 w 10317"/>
            <a:gd name="connsiteY6" fmla="*/ 250 h 1025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0317" h="10250">
              <a:moveTo>
                <a:pt x="1667" y="250"/>
              </a:moveTo>
              <a:lnTo>
                <a:pt x="10317" y="0"/>
              </a:lnTo>
              <a:cubicBezTo>
                <a:pt x="9396" y="0"/>
                <a:pt x="9973" y="3542"/>
                <a:pt x="9920" y="5250"/>
              </a:cubicBezTo>
              <a:cubicBezTo>
                <a:pt x="9867" y="6958"/>
                <a:pt x="9079" y="10250"/>
                <a:pt x="10000" y="10250"/>
              </a:cubicBezTo>
              <a:lnTo>
                <a:pt x="1667" y="10250"/>
              </a:lnTo>
              <a:cubicBezTo>
                <a:pt x="746" y="10250"/>
                <a:pt x="0" y="8011"/>
                <a:pt x="0" y="5250"/>
              </a:cubicBezTo>
              <a:cubicBezTo>
                <a:pt x="0" y="2489"/>
                <a:pt x="746" y="250"/>
                <a:pt x="1667" y="250"/>
              </a:cubicBezTo>
              <a:close/>
            </a:path>
          </a:pathLst>
        </a:cu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77"/>
  <sheetViews>
    <sheetView showGridLines="0" tabSelected="1" topLeftCell="B1" zoomScale="50" zoomScaleNormal="50" zoomScaleSheetLayoutView="25" zoomScalePageLayoutView="10" workbookViewId="0">
      <selection activeCell="G14" sqref="G14:J15"/>
    </sheetView>
  </sheetViews>
  <sheetFormatPr defaultRowHeight="15" x14ac:dyDescent="0.25"/>
  <cols>
    <col min="2" max="2" width="14.140625" bestFit="1" customWidth="1"/>
    <col min="3" max="3" width="18.85546875" customWidth="1"/>
    <col min="4" max="4" width="22" bestFit="1" customWidth="1"/>
    <col min="5" max="5" width="31.85546875" bestFit="1" customWidth="1"/>
    <col min="6" max="6" width="22.28515625" customWidth="1"/>
    <col min="18" max="18" width="9.140625" customWidth="1"/>
    <col min="20" max="20" width="9.140625" customWidth="1"/>
    <col min="21" max="21" width="18.85546875" customWidth="1"/>
    <col min="26" max="26" width="10" customWidth="1"/>
    <col min="29" max="29" width="2.85546875" style="35" customWidth="1"/>
    <col min="43" max="43" width="38.7109375" customWidth="1"/>
    <col min="44" max="44" width="20.7109375" bestFit="1" customWidth="1"/>
    <col min="45" max="45" width="12.85546875" bestFit="1" customWidth="1"/>
  </cols>
  <sheetData>
    <row r="2" spans="2:27" ht="45.75" customHeight="1" x14ac:dyDescent="0.25">
      <c r="D2" s="76" t="s">
        <v>124</v>
      </c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</row>
    <row r="3" spans="2:27" ht="84.75" customHeight="1" x14ac:dyDescent="0.35">
      <c r="D3" s="85" t="s">
        <v>120</v>
      </c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</row>
    <row r="4" spans="2:27" ht="15" customHeight="1" x14ac:dyDescent="0.3"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2:27" ht="12.75" customHeight="1" x14ac:dyDescent="0.25"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</row>
    <row r="7" spans="2:27" x14ac:dyDescent="0.25">
      <c r="B7" s="86" t="s">
        <v>42</v>
      </c>
      <c r="C7" s="42"/>
      <c r="D7" s="40"/>
      <c r="E7" s="41"/>
      <c r="F7" s="82"/>
      <c r="G7" s="67" t="s">
        <v>8</v>
      </c>
      <c r="H7" s="67"/>
      <c r="I7" s="67" t="s">
        <v>7</v>
      </c>
      <c r="J7" s="67"/>
      <c r="K7" s="67" t="s">
        <v>6</v>
      </c>
      <c r="L7" s="67"/>
      <c r="M7" s="67" t="s">
        <v>5</v>
      </c>
      <c r="N7" s="67"/>
      <c r="O7" s="67" t="s">
        <v>4</v>
      </c>
      <c r="P7" s="67"/>
      <c r="Q7" s="67" t="s">
        <v>3</v>
      </c>
      <c r="R7" s="67"/>
      <c r="S7" s="67" t="s">
        <v>2</v>
      </c>
      <c r="T7" s="67"/>
      <c r="U7" s="81"/>
    </row>
    <row r="8" spans="2:27" ht="15" customHeight="1" x14ac:dyDescent="0.25">
      <c r="B8" s="86"/>
      <c r="C8" s="43"/>
      <c r="F8" s="83"/>
      <c r="G8" s="59">
        <v>0</v>
      </c>
      <c r="H8" s="60"/>
      <c r="I8" s="59">
        <v>0</v>
      </c>
      <c r="J8" s="60"/>
      <c r="K8" s="59">
        <v>0</v>
      </c>
      <c r="L8" s="60"/>
      <c r="M8" s="59">
        <v>0</v>
      </c>
      <c r="N8" s="60"/>
      <c r="O8" s="59">
        <v>0</v>
      </c>
      <c r="P8" s="60"/>
      <c r="Q8" s="59">
        <v>0</v>
      </c>
      <c r="R8" s="60"/>
      <c r="S8" s="59">
        <v>0</v>
      </c>
      <c r="T8" s="60"/>
      <c r="U8" s="81"/>
    </row>
    <row r="9" spans="2:27" ht="15" customHeight="1" x14ac:dyDescent="0.25">
      <c r="B9" s="86"/>
      <c r="C9" s="43"/>
      <c r="F9" s="83"/>
      <c r="G9" s="61"/>
      <c r="H9" s="62"/>
      <c r="I9" s="61"/>
      <c r="J9" s="62"/>
      <c r="K9" s="61"/>
      <c r="L9" s="62"/>
      <c r="M9" s="61"/>
      <c r="N9" s="62"/>
      <c r="O9" s="61"/>
      <c r="P9" s="62"/>
      <c r="Q9" s="61"/>
      <c r="R9" s="62"/>
      <c r="S9" s="61"/>
      <c r="T9" s="62"/>
      <c r="U9" s="81"/>
      <c r="AA9" s="21"/>
    </row>
    <row r="10" spans="2:27" ht="15" customHeight="1" x14ac:dyDescent="0.25">
      <c r="B10" s="86"/>
      <c r="C10" s="43"/>
      <c r="F10" s="83"/>
      <c r="G10" s="61"/>
      <c r="H10" s="62"/>
      <c r="I10" s="61"/>
      <c r="J10" s="62"/>
      <c r="K10" s="61"/>
      <c r="L10" s="62"/>
      <c r="M10" s="61"/>
      <c r="N10" s="62"/>
      <c r="O10" s="61"/>
      <c r="P10" s="62"/>
      <c r="Q10" s="61"/>
      <c r="R10" s="62"/>
      <c r="S10" s="61"/>
      <c r="T10" s="62"/>
      <c r="U10" s="81"/>
    </row>
    <row r="11" spans="2:27" ht="15" customHeight="1" x14ac:dyDescent="0.25">
      <c r="B11" s="86"/>
      <c r="C11" s="43"/>
      <c r="F11" s="83"/>
      <c r="G11" s="61"/>
      <c r="H11" s="62"/>
      <c r="I11" s="61"/>
      <c r="J11" s="62"/>
      <c r="K11" s="61"/>
      <c r="L11" s="62"/>
      <c r="M11" s="61"/>
      <c r="N11" s="62"/>
      <c r="O11" s="61"/>
      <c r="P11" s="62"/>
      <c r="Q11" s="61"/>
      <c r="R11" s="62"/>
      <c r="S11" s="61"/>
      <c r="T11" s="62"/>
      <c r="U11" s="81"/>
    </row>
    <row r="12" spans="2:27" ht="15" customHeight="1" x14ac:dyDescent="0.25">
      <c r="B12" s="86"/>
      <c r="C12" s="43"/>
      <c r="F12" s="83"/>
      <c r="G12" s="61"/>
      <c r="H12" s="62"/>
      <c r="I12" s="61"/>
      <c r="J12" s="62"/>
      <c r="K12" s="61"/>
      <c r="L12" s="62"/>
      <c r="M12" s="61"/>
      <c r="N12" s="62"/>
      <c r="O12" s="61"/>
      <c r="P12" s="62"/>
      <c r="Q12" s="61"/>
      <c r="R12" s="62"/>
      <c r="S12" s="61"/>
      <c r="T12" s="62"/>
      <c r="U12" s="81"/>
    </row>
    <row r="13" spans="2:27" ht="15" customHeight="1" x14ac:dyDescent="0.25">
      <c r="B13" s="86"/>
      <c r="C13" s="43"/>
      <c r="F13" s="84"/>
      <c r="G13" s="63"/>
      <c r="H13" s="64"/>
      <c r="I13" s="63"/>
      <c r="J13" s="64"/>
      <c r="K13" s="63"/>
      <c r="L13" s="64"/>
      <c r="M13" s="63"/>
      <c r="N13" s="64"/>
      <c r="O13" s="63"/>
      <c r="P13" s="64"/>
      <c r="Q13" s="63"/>
      <c r="R13" s="64"/>
      <c r="S13" s="63"/>
      <c r="T13" s="64"/>
      <c r="U13" s="81"/>
    </row>
    <row r="14" spans="2:27" x14ac:dyDescent="0.25">
      <c r="B14" s="87" t="s">
        <v>43</v>
      </c>
      <c r="C14" s="42"/>
      <c r="D14" s="40"/>
      <c r="E14" s="49"/>
      <c r="F14" s="80">
        <v>1000</v>
      </c>
      <c r="G14" s="105">
        <v>100</v>
      </c>
      <c r="H14" s="106"/>
      <c r="I14" s="106"/>
      <c r="J14" s="107"/>
      <c r="K14" s="105">
        <v>1700</v>
      </c>
      <c r="L14" s="106"/>
      <c r="M14" s="106"/>
      <c r="N14" s="107"/>
      <c r="O14" s="66">
        <v>0</v>
      </c>
      <c r="P14" s="66"/>
      <c r="Q14" s="66">
        <v>1400</v>
      </c>
      <c r="R14" s="66"/>
      <c r="S14" s="66"/>
      <c r="T14" s="66"/>
      <c r="U14" s="80">
        <v>1000</v>
      </c>
      <c r="W14" s="40"/>
      <c r="X14" s="40"/>
      <c r="Y14" s="41"/>
      <c r="Z14" s="77" t="s">
        <v>0</v>
      </c>
    </row>
    <row r="15" spans="2:27" x14ac:dyDescent="0.25">
      <c r="B15" s="87"/>
      <c r="E15" s="1"/>
      <c r="F15" s="80"/>
      <c r="G15" s="108"/>
      <c r="H15" s="109"/>
      <c r="I15" s="109"/>
      <c r="J15" s="110"/>
      <c r="K15" s="108"/>
      <c r="L15" s="109"/>
      <c r="M15" s="109"/>
      <c r="N15" s="110"/>
      <c r="O15" s="66"/>
      <c r="P15" s="66"/>
      <c r="Q15" s="66"/>
      <c r="R15" s="66"/>
      <c r="S15" s="66"/>
      <c r="T15" s="66"/>
      <c r="U15" s="80"/>
      <c r="Z15" s="77"/>
    </row>
    <row r="16" spans="2:27" ht="15" customHeight="1" x14ac:dyDescent="0.25">
      <c r="B16" s="87"/>
      <c r="E16" s="1"/>
      <c r="F16" s="80"/>
      <c r="G16" s="68">
        <v>100</v>
      </c>
      <c r="H16" s="69"/>
      <c r="I16" s="69"/>
      <c r="J16" s="70"/>
      <c r="K16" s="68">
        <v>1700</v>
      </c>
      <c r="L16" s="69"/>
      <c r="M16" s="69"/>
      <c r="N16" s="70"/>
      <c r="O16" s="74">
        <v>20</v>
      </c>
      <c r="P16" s="74"/>
      <c r="Q16" s="74">
        <v>1500</v>
      </c>
      <c r="R16" s="74"/>
      <c r="S16" s="74"/>
      <c r="T16" s="74"/>
      <c r="U16" s="80"/>
      <c r="V16" s="42"/>
      <c r="W16" s="40"/>
      <c r="X16" s="40"/>
      <c r="Y16" s="41"/>
      <c r="Z16" s="78" t="s">
        <v>9</v>
      </c>
    </row>
    <row r="17" spans="2:26" ht="15" customHeight="1" x14ac:dyDescent="0.25">
      <c r="B17" s="87"/>
      <c r="E17" s="1"/>
      <c r="F17" s="80"/>
      <c r="G17" s="71"/>
      <c r="H17" s="72"/>
      <c r="I17" s="72"/>
      <c r="J17" s="73"/>
      <c r="K17" s="71"/>
      <c r="L17" s="72"/>
      <c r="M17" s="72"/>
      <c r="N17" s="73"/>
      <c r="O17" s="74"/>
      <c r="P17" s="74"/>
      <c r="Q17" s="74"/>
      <c r="R17" s="74"/>
      <c r="S17" s="74"/>
      <c r="T17" s="74"/>
      <c r="U17" s="80"/>
      <c r="V17" s="43"/>
      <c r="Y17" s="44"/>
      <c r="Z17" s="78"/>
    </row>
    <row r="18" spans="2:26" x14ac:dyDescent="0.25">
      <c r="B18" s="87"/>
      <c r="E18" s="1"/>
      <c r="F18" s="80"/>
      <c r="G18" s="89">
        <v>180</v>
      </c>
      <c r="H18" s="90"/>
      <c r="I18" s="90"/>
      <c r="J18" s="91"/>
      <c r="K18" s="89">
        <v>1700</v>
      </c>
      <c r="L18" s="90"/>
      <c r="M18" s="90"/>
      <c r="N18" s="91"/>
      <c r="O18" s="95">
        <v>30</v>
      </c>
      <c r="P18" s="95"/>
      <c r="Q18" s="95">
        <v>1300</v>
      </c>
      <c r="R18" s="95"/>
      <c r="S18" s="95"/>
      <c r="T18" s="95"/>
      <c r="U18" s="80"/>
      <c r="V18" s="42"/>
      <c r="W18" s="40"/>
      <c r="X18" s="40"/>
      <c r="Y18" s="41"/>
      <c r="Z18" s="79" t="s">
        <v>1</v>
      </c>
    </row>
    <row r="19" spans="2:26" x14ac:dyDescent="0.25">
      <c r="B19" s="87"/>
      <c r="C19" s="45"/>
      <c r="D19" s="46"/>
      <c r="E19" s="50"/>
      <c r="F19" s="80"/>
      <c r="G19" s="92"/>
      <c r="H19" s="93"/>
      <c r="I19" s="93"/>
      <c r="J19" s="94"/>
      <c r="K19" s="92"/>
      <c r="L19" s="93"/>
      <c r="M19" s="93"/>
      <c r="N19" s="94"/>
      <c r="O19" s="95"/>
      <c r="P19" s="95"/>
      <c r="Q19" s="95"/>
      <c r="R19" s="95"/>
      <c r="S19" s="95"/>
      <c r="T19" s="95"/>
      <c r="U19" s="80"/>
      <c r="V19" s="45"/>
      <c r="W19" s="46"/>
      <c r="X19" s="46"/>
      <c r="Y19" s="47"/>
      <c r="Z19" s="79"/>
    </row>
    <row r="20" spans="2:26" x14ac:dyDescent="0.25"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2:26" ht="14.25" customHeight="1" x14ac:dyDescent="0.25"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</row>
    <row r="22" spans="2:26" ht="36.75" customHeight="1" x14ac:dyDescent="0.25">
      <c r="D22" s="75" t="s">
        <v>19</v>
      </c>
      <c r="E22" s="75"/>
      <c r="F22" s="51" t="s">
        <v>34</v>
      </c>
      <c r="G22" s="65">
        <v>1</v>
      </c>
      <c r="H22" s="65"/>
      <c r="I22" s="65">
        <v>1</v>
      </c>
      <c r="J22" s="65"/>
      <c r="K22" s="65">
        <v>1</v>
      </c>
      <c r="L22" s="65"/>
      <c r="M22" s="65">
        <v>1</v>
      </c>
      <c r="N22" s="65"/>
      <c r="O22" s="65">
        <v>1</v>
      </c>
      <c r="P22" s="65"/>
      <c r="Q22" s="65">
        <v>1</v>
      </c>
      <c r="R22" s="65"/>
      <c r="S22" s="65">
        <v>1</v>
      </c>
      <c r="T22" s="65"/>
      <c r="U22" s="52" t="s">
        <v>34</v>
      </c>
    </row>
    <row r="23" spans="2:26" ht="30" customHeight="1" x14ac:dyDescent="0.25">
      <c r="D23" s="75" t="s">
        <v>116</v>
      </c>
      <c r="E23" s="75"/>
      <c r="F23" s="116">
        <v>1.0249999999999999</v>
      </c>
      <c r="G23" s="96">
        <v>0.96499999999999997</v>
      </c>
      <c r="H23" s="97"/>
      <c r="I23" s="97"/>
      <c r="J23" s="98"/>
      <c r="K23" s="96">
        <v>1.0249999999999999</v>
      </c>
      <c r="L23" s="97"/>
      <c r="M23" s="97"/>
      <c r="N23" s="98"/>
      <c r="O23" s="66">
        <v>1</v>
      </c>
      <c r="P23" s="66"/>
      <c r="Q23" s="66">
        <v>1.0249999999999999</v>
      </c>
      <c r="R23" s="66"/>
      <c r="S23" s="66"/>
      <c r="T23" s="66"/>
      <c r="U23" s="115">
        <v>1.0249999999999999</v>
      </c>
    </row>
    <row r="24" spans="2:26" ht="30" customHeight="1" x14ac:dyDescent="0.25">
      <c r="D24" s="75"/>
      <c r="E24" s="75"/>
      <c r="F24" s="117"/>
      <c r="G24" s="99">
        <v>0.96499999999999997</v>
      </c>
      <c r="H24" s="100"/>
      <c r="I24" s="100"/>
      <c r="J24" s="101"/>
      <c r="K24" s="99">
        <v>1.0249999999999999</v>
      </c>
      <c r="L24" s="100"/>
      <c r="M24" s="100"/>
      <c r="N24" s="101"/>
      <c r="O24" s="74">
        <v>1</v>
      </c>
      <c r="P24" s="74"/>
      <c r="Q24" s="74">
        <v>1.0249999999999999</v>
      </c>
      <c r="R24" s="74"/>
      <c r="S24" s="74"/>
      <c r="T24" s="74"/>
      <c r="U24" s="115"/>
    </row>
    <row r="25" spans="2:26" ht="30" customHeight="1" x14ac:dyDescent="0.25">
      <c r="D25" s="75"/>
      <c r="E25" s="75"/>
      <c r="F25" s="118"/>
      <c r="G25" s="102">
        <v>0.96499999999999997</v>
      </c>
      <c r="H25" s="103"/>
      <c r="I25" s="103"/>
      <c r="J25" s="104"/>
      <c r="K25" s="102">
        <v>1.0249999999999999</v>
      </c>
      <c r="L25" s="103"/>
      <c r="M25" s="103"/>
      <c r="N25" s="104"/>
      <c r="O25" s="95">
        <v>1</v>
      </c>
      <c r="P25" s="95"/>
      <c r="Q25" s="95">
        <v>1.0249999999999999</v>
      </c>
      <c r="R25" s="95"/>
      <c r="S25" s="95"/>
      <c r="T25" s="95"/>
      <c r="U25" s="115"/>
    </row>
    <row r="26" spans="2:26" x14ac:dyDescent="0.25"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2:26" ht="15" customHeight="1" x14ac:dyDescent="0.25"/>
    <row r="28" spans="2:26" ht="30" customHeight="1" x14ac:dyDescent="0.4">
      <c r="D28" s="119" t="s">
        <v>85</v>
      </c>
      <c r="E28" s="119"/>
      <c r="F28" s="131">
        <f>IF(C77+F30&gt;75622, "PBM EXCEDIDO",C77+F30)</f>
        <v>23475</v>
      </c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3"/>
      <c r="U28" s="130" t="s">
        <v>119</v>
      </c>
      <c r="V28" s="57"/>
    </row>
    <row r="29" spans="2:26" ht="30" customHeight="1" x14ac:dyDescent="0.4">
      <c r="D29" s="119" t="s">
        <v>93</v>
      </c>
      <c r="E29" s="119"/>
      <c r="F29" s="131">
        <f>IFERROR(F28+'DADOS NAVIO'!C9, "VALORES EXCEDIDOS")</f>
        <v>36755</v>
      </c>
      <c r="G29" s="132"/>
      <c r="H29" s="132"/>
      <c r="I29" s="132"/>
      <c r="J29" s="132"/>
      <c r="K29" s="132"/>
      <c r="L29" s="132"/>
      <c r="M29" s="132"/>
      <c r="N29" s="132"/>
      <c r="O29" s="132"/>
      <c r="P29" s="132"/>
      <c r="Q29" s="132"/>
      <c r="R29" s="132"/>
      <c r="S29" s="132"/>
      <c r="T29" s="133"/>
      <c r="U29" s="130"/>
    </row>
    <row r="30" spans="2:26" ht="30" customHeight="1" x14ac:dyDescent="0.4">
      <c r="D30" s="119" t="s">
        <v>118</v>
      </c>
      <c r="E30" s="119"/>
      <c r="F30" s="131">
        <f>SUM(C63:C74,'DADOS NAVIO'!C5,U14,F14)</f>
        <v>11745</v>
      </c>
      <c r="G30" s="132"/>
      <c r="H30" s="132"/>
      <c r="I30" s="132"/>
      <c r="J30" s="132"/>
      <c r="K30" s="132"/>
      <c r="L30" s="132"/>
      <c r="M30" s="132"/>
      <c r="N30" s="132"/>
      <c r="O30" s="132"/>
      <c r="P30" s="132"/>
      <c r="Q30" s="132"/>
      <c r="R30" s="132"/>
      <c r="S30" s="132"/>
      <c r="T30" s="132"/>
      <c r="U30" s="130"/>
      <c r="V30" s="57"/>
    </row>
    <row r="31" spans="2:26" ht="30" customHeight="1" x14ac:dyDescent="0.4">
      <c r="D31" s="119" t="s">
        <v>101</v>
      </c>
      <c r="E31" s="119"/>
      <c r="F31" s="131">
        <f>IFERROR('DADOS NAVIO'!C19-F29, "VALORES EXCEDIDOS")</f>
        <v>52147</v>
      </c>
      <c r="G31" s="132"/>
      <c r="H31" s="132"/>
      <c r="I31" s="132"/>
      <c r="J31" s="132"/>
      <c r="K31" s="132"/>
      <c r="L31" s="132"/>
      <c r="M31" s="132"/>
      <c r="N31" s="132"/>
      <c r="O31" s="132"/>
      <c r="P31" s="132"/>
      <c r="Q31" s="132"/>
      <c r="R31" s="132"/>
      <c r="S31" s="132"/>
      <c r="T31" s="133"/>
      <c r="U31" s="130"/>
    </row>
    <row r="32" spans="2:26" ht="30" customHeight="1" x14ac:dyDescent="0.4">
      <c r="D32" s="119" t="s">
        <v>102</v>
      </c>
      <c r="E32" s="119"/>
      <c r="F32" s="131">
        <f>E77</f>
        <v>11468.17262732213</v>
      </c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3"/>
      <c r="U32" s="130"/>
    </row>
    <row r="33" spans="2:29" ht="21.75" customHeight="1" x14ac:dyDescent="0.25"/>
    <row r="35" spans="2:29" s="8" customFormat="1" ht="7.5" customHeight="1" x14ac:dyDescent="0.25">
      <c r="AC35" s="35"/>
    </row>
    <row r="37" spans="2:29" x14ac:dyDescent="0.25">
      <c r="D37" s="88" t="s">
        <v>45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</row>
    <row r="38" spans="2:29" x14ac:dyDescent="0.25"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</row>
    <row r="39" spans="2:29" ht="20.25" customHeight="1" x14ac:dyDescent="0.25"/>
    <row r="40" spans="2:29" ht="22.5" customHeight="1" x14ac:dyDescent="0.25">
      <c r="D40" s="126" t="s">
        <v>63</v>
      </c>
      <c r="E40" s="127"/>
      <c r="F40" s="127"/>
      <c r="G40" s="127"/>
      <c r="H40" s="127"/>
      <c r="I40" s="127"/>
      <c r="J40" s="127"/>
      <c r="K40" s="127"/>
      <c r="L40" s="127"/>
      <c r="M40" s="127"/>
      <c r="N40" s="128"/>
      <c r="O40" s="127" t="s">
        <v>62</v>
      </c>
      <c r="P40" s="127"/>
      <c r="Q40" s="127"/>
      <c r="R40" s="127"/>
      <c r="S40" s="127"/>
      <c r="T40" s="127"/>
      <c r="U40" s="127"/>
      <c r="V40" s="127"/>
      <c r="W40" s="127"/>
      <c r="X40" s="127"/>
      <c r="Y40" s="129"/>
    </row>
    <row r="41" spans="2:29" ht="30" customHeight="1" x14ac:dyDescent="0.25">
      <c r="D41" s="111" t="s">
        <v>46</v>
      </c>
      <c r="E41" s="111"/>
      <c r="F41" s="112">
        <f>'MOMENTOS DE EST.'!G25/'MOMENTOS DE EST.'!D25</f>
        <v>9.1223826838577935</v>
      </c>
      <c r="G41" s="112"/>
      <c r="H41" s="112"/>
      <c r="I41" s="112"/>
      <c r="J41" s="112"/>
      <c r="K41" s="112"/>
      <c r="L41" s="112"/>
      <c r="M41" s="112"/>
      <c r="N41" s="113"/>
      <c r="O41" s="114" t="s">
        <v>125</v>
      </c>
      <c r="P41" s="111"/>
      <c r="Q41" s="112">
        <f>'MOMENTOS DE EST.'!M25/'MOMENTOS DE EST.'!K25</f>
        <v>-3.8080527788884444</v>
      </c>
      <c r="R41" s="112"/>
      <c r="S41" s="112"/>
      <c r="T41" s="112"/>
      <c r="U41" s="112"/>
      <c r="V41" s="112"/>
      <c r="W41" s="112"/>
      <c r="X41" s="112"/>
      <c r="Y41" s="112"/>
    </row>
    <row r="42" spans="2:29" ht="30" customHeight="1" x14ac:dyDescent="0.25">
      <c r="D42" s="111" t="s">
        <v>87</v>
      </c>
      <c r="E42" s="111"/>
      <c r="F42" s="112">
        <f>'DADOS NAVIO'!C30</f>
        <v>11.689772817434079</v>
      </c>
      <c r="G42" s="112"/>
      <c r="H42" s="112"/>
      <c r="I42" s="112"/>
      <c r="J42" s="112"/>
      <c r="K42" s="112"/>
      <c r="L42" s="112"/>
      <c r="M42" s="112"/>
      <c r="N42" s="113"/>
      <c r="O42" s="114" t="s">
        <v>66</v>
      </c>
      <c r="P42" s="111"/>
      <c r="Q42" s="112">
        <f>Q44+'MOMENTOS DE EST.'!J31</f>
        <v>3.7297983523616547</v>
      </c>
      <c r="R42" s="112"/>
      <c r="S42" s="112"/>
      <c r="T42" s="112"/>
      <c r="U42" s="112"/>
      <c r="V42" s="112"/>
      <c r="W42" s="112"/>
      <c r="X42" s="112"/>
      <c r="Y42" s="112"/>
    </row>
    <row r="43" spans="2:29" ht="30" customHeight="1" x14ac:dyDescent="0.25">
      <c r="D43" s="111" t="s">
        <v>48</v>
      </c>
      <c r="E43" s="111"/>
      <c r="F43" s="112">
        <f>F42-F41</f>
        <v>2.5673901335762856</v>
      </c>
      <c r="G43" s="112"/>
      <c r="H43" s="112"/>
      <c r="I43" s="112"/>
      <c r="J43" s="112"/>
      <c r="K43" s="112"/>
      <c r="L43" s="112"/>
      <c r="M43" s="112"/>
      <c r="N43" s="113"/>
      <c r="O43" s="114" t="s">
        <v>67</v>
      </c>
      <c r="P43" s="111"/>
      <c r="Q43" s="112">
        <f>'CÁLCULO ESTABILIDADE'!Q44:Y44+'MOMENTOS DE EST.'!J32</f>
        <v>4.480537725193126</v>
      </c>
      <c r="R43" s="112"/>
      <c r="S43" s="112"/>
      <c r="T43" s="112"/>
      <c r="U43" s="112"/>
      <c r="V43" s="112"/>
      <c r="W43" s="112"/>
      <c r="X43" s="112"/>
      <c r="Y43" s="112"/>
    </row>
    <row r="44" spans="2:29" ht="30" customHeight="1" x14ac:dyDescent="0.25">
      <c r="D44" s="111" t="s">
        <v>64</v>
      </c>
      <c r="E44" s="111"/>
      <c r="F44" s="112">
        <f>'MOMENTOS DE EST.'!E25</f>
        <v>0.6117219778755163</v>
      </c>
      <c r="G44" s="112"/>
      <c r="H44" s="112"/>
      <c r="I44" s="112"/>
      <c r="J44" s="112"/>
      <c r="K44" s="112"/>
      <c r="L44" s="112"/>
      <c r="M44" s="112"/>
      <c r="N44" s="113"/>
      <c r="O44" s="114" t="s">
        <v>68</v>
      </c>
      <c r="P44" s="111"/>
      <c r="Q44" s="112">
        <f>'MOMENTOS DE EST.'!L25</f>
        <v>4.0876444695001553</v>
      </c>
      <c r="R44" s="112"/>
      <c r="S44" s="112"/>
      <c r="T44" s="112"/>
      <c r="U44" s="112"/>
      <c r="V44" s="112"/>
      <c r="W44" s="112"/>
      <c r="X44" s="112"/>
      <c r="Y44" s="112"/>
    </row>
    <row r="45" spans="2:29" ht="30" customHeight="1" x14ac:dyDescent="0.25">
      <c r="D45" s="111" t="s">
        <v>112</v>
      </c>
      <c r="E45" s="111"/>
      <c r="F45" s="112">
        <f>F43-F44</f>
        <v>1.9556681557007694</v>
      </c>
      <c r="G45" s="112"/>
      <c r="H45" s="112"/>
      <c r="I45" s="112"/>
      <c r="J45" s="112"/>
      <c r="K45" s="112"/>
      <c r="L45" s="112"/>
      <c r="M45" s="112"/>
      <c r="N45" s="113"/>
      <c r="O45" s="114"/>
      <c r="P45" s="111"/>
      <c r="Q45" s="112"/>
      <c r="R45" s="112"/>
      <c r="S45" s="112"/>
      <c r="T45" s="112"/>
      <c r="U45" s="112"/>
      <c r="V45" s="112"/>
      <c r="W45" s="112"/>
      <c r="X45" s="112"/>
      <c r="Y45" s="112"/>
    </row>
    <row r="46" spans="2:29" ht="27.75" customHeight="1" x14ac:dyDescent="0.25">
      <c r="D46" s="111" t="s">
        <v>70</v>
      </c>
      <c r="E46" s="111"/>
      <c r="F46" s="112">
        <f>'MOMENTOS DE EST.'!C28</f>
        <v>3.9984006397441024E-3</v>
      </c>
      <c r="G46" s="112"/>
      <c r="H46" s="112"/>
      <c r="I46" s="112"/>
      <c r="J46" s="112"/>
      <c r="K46" s="112"/>
      <c r="L46" s="112"/>
      <c r="M46" s="112"/>
      <c r="N46" s="113"/>
      <c r="O46" s="114"/>
      <c r="P46" s="111"/>
      <c r="Q46" s="112"/>
      <c r="R46" s="112"/>
      <c r="S46" s="112"/>
      <c r="T46" s="112"/>
      <c r="U46" s="112"/>
      <c r="V46" s="112"/>
      <c r="W46" s="112"/>
      <c r="X46" s="112"/>
      <c r="Y46" s="112"/>
    </row>
    <row r="47" spans="2:29" ht="53.25" customHeight="1" x14ac:dyDescent="0.35">
      <c r="B47" s="120" t="s">
        <v>115</v>
      </c>
      <c r="C47" s="120"/>
      <c r="D47" s="125" t="s">
        <v>114</v>
      </c>
      <c r="E47" s="125"/>
      <c r="F47" s="122">
        <f>'MOMENTOS DE EST.'!C31</f>
        <v>7.2061428673660846E-2</v>
      </c>
      <c r="G47" s="122"/>
      <c r="H47" s="122"/>
      <c r="I47" s="122"/>
      <c r="J47" s="122"/>
      <c r="K47" s="122"/>
      <c r="L47" s="122"/>
      <c r="M47" s="122"/>
      <c r="N47" s="123"/>
      <c r="O47" s="114" t="s">
        <v>69</v>
      </c>
      <c r="P47" s="111"/>
      <c r="Q47" s="112">
        <f>Q43-Q42</f>
        <v>0.7507393728314713</v>
      </c>
      <c r="R47" s="112"/>
      <c r="S47" s="112"/>
      <c r="T47" s="112"/>
      <c r="U47" s="112"/>
      <c r="V47" s="112"/>
      <c r="W47" s="112"/>
      <c r="X47" s="112"/>
      <c r="Y47" s="112"/>
    </row>
    <row r="48" spans="2:29" ht="30" customHeight="1" x14ac:dyDescent="0.35">
      <c r="D48" s="124"/>
      <c r="E48" s="124"/>
      <c r="F48" s="18"/>
      <c r="G48" s="18"/>
      <c r="O48" s="124"/>
      <c r="P48" s="124"/>
    </row>
    <row r="49" spans="2:16" ht="30" customHeight="1" x14ac:dyDescent="0.35">
      <c r="D49" s="32"/>
      <c r="E49" s="32"/>
      <c r="F49" s="18"/>
      <c r="G49" s="18"/>
      <c r="O49" s="32"/>
      <c r="P49" s="32"/>
    </row>
    <row r="50" spans="2:16" ht="30" customHeight="1" x14ac:dyDescent="0.35">
      <c r="B50" s="121"/>
      <c r="C50" s="121"/>
      <c r="D50" s="121"/>
      <c r="E50" s="121"/>
      <c r="F50" s="18"/>
      <c r="G50" s="18"/>
      <c r="O50" s="32"/>
      <c r="P50" s="32"/>
    </row>
    <row r="51" spans="2:16" s="39" customFormat="1" ht="10.5" customHeight="1" x14ac:dyDescent="0.25"/>
    <row r="52" spans="2:16" ht="30" customHeight="1" x14ac:dyDescent="0.25"/>
    <row r="53" spans="2:16" ht="30" customHeight="1" x14ac:dyDescent="0.25"/>
    <row r="54" spans="2:16" ht="30" customHeight="1" x14ac:dyDescent="0.25"/>
    <row r="55" spans="2:16" ht="16.5" customHeight="1" x14ac:dyDescent="0.25">
      <c r="C55" s="22" t="s">
        <v>80</v>
      </c>
      <c r="D55" s="22" t="s">
        <v>81</v>
      </c>
      <c r="E55" s="22" t="s">
        <v>82</v>
      </c>
    </row>
    <row r="56" spans="2:16" ht="16.5" customHeight="1" x14ac:dyDescent="0.25">
      <c r="B56" s="19" t="s">
        <v>12</v>
      </c>
      <c r="C56" s="14">
        <f>S8</f>
        <v>0</v>
      </c>
      <c r="D56" s="14">
        <f>S22</f>
        <v>1</v>
      </c>
      <c r="E56" s="14">
        <f>C56*D56</f>
        <v>0</v>
      </c>
    </row>
    <row r="57" spans="2:16" ht="16.5" customHeight="1" x14ac:dyDescent="0.25">
      <c r="B57" s="19" t="s">
        <v>13</v>
      </c>
      <c r="C57" s="14">
        <f>Q8</f>
        <v>0</v>
      </c>
      <c r="D57" s="14">
        <f>Q22</f>
        <v>1</v>
      </c>
      <c r="E57" s="14">
        <f t="shared" ref="E57:E62" si="0">C57*D57</f>
        <v>0</v>
      </c>
    </row>
    <row r="58" spans="2:16" ht="16.5" customHeight="1" x14ac:dyDescent="0.25">
      <c r="B58" s="19" t="s">
        <v>14</v>
      </c>
      <c r="C58" s="14">
        <f>O8</f>
        <v>0</v>
      </c>
      <c r="D58" s="14">
        <f>O22</f>
        <v>1</v>
      </c>
      <c r="E58" s="14">
        <f>C58*D58</f>
        <v>0</v>
      </c>
    </row>
    <row r="59" spans="2:16" ht="16.5" customHeight="1" x14ac:dyDescent="0.25">
      <c r="B59" s="19" t="s">
        <v>15</v>
      </c>
      <c r="C59" s="14">
        <f>M8</f>
        <v>0</v>
      </c>
      <c r="D59" s="14">
        <f>M22</f>
        <v>1</v>
      </c>
      <c r="E59" s="14">
        <f t="shared" si="0"/>
        <v>0</v>
      </c>
    </row>
    <row r="60" spans="2:16" ht="16.5" customHeight="1" x14ac:dyDescent="0.25">
      <c r="B60" s="19" t="s">
        <v>16</v>
      </c>
      <c r="C60" s="14">
        <f>K8</f>
        <v>0</v>
      </c>
      <c r="D60" s="14">
        <f>K22</f>
        <v>1</v>
      </c>
      <c r="E60" s="14">
        <f t="shared" si="0"/>
        <v>0</v>
      </c>
    </row>
    <row r="61" spans="2:16" ht="16.5" customHeight="1" x14ac:dyDescent="0.25">
      <c r="B61" s="19" t="s">
        <v>17</v>
      </c>
      <c r="C61" s="14">
        <f>I8</f>
        <v>0</v>
      </c>
      <c r="D61" s="14">
        <f>I22</f>
        <v>1</v>
      </c>
      <c r="E61" s="14">
        <f t="shared" si="0"/>
        <v>0</v>
      </c>
    </row>
    <row r="62" spans="2:16" ht="16.5" customHeight="1" x14ac:dyDescent="0.25">
      <c r="B62" s="19" t="s">
        <v>18</v>
      </c>
      <c r="C62" s="14">
        <f>G8</f>
        <v>0</v>
      </c>
      <c r="D62" s="14">
        <f>G22</f>
        <v>1</v>
      </c>
      <c r="E62" s="14">
        <f t="shared" si="0"/>
        <v>0</v>
      </c>
    </row>
    <row r="63" spans="2:16" ht="16.5" customHeight="1" x14ac:dyDescent="0.25">
      <c r="B63" s="19" t="s">
        <v>20</v>
      </c>
      <c r="C63" s="14">
        <f>Q14</f>
        <v>1400</v>
      </c>
      <c r="D63" s="14">
        <f>Q23</f>
        <v>1.0249999999999999</v>
      </c>
      <c r="E63" s="14">
        <f>IFERROR(C63/D63, 0)</f>
        <v>1365.8536585365855</v>
      </c>
    </row>
    <row r="64" spans="2:16" ht="16.5" customHeight="1" x14ac:dyDescent="0.25">
      <c r="B64" s="19" t="s">
        <v>21</v>
      </c>
      <c r="C64" s="14">
        <f>Q16</f>
        <v>1500</v>
      </c>
      <c r="D64" s="14">
        <f>Q24</f>
        <v>1.0249999999999999</v>
      </c>
      <c r="E64" s="14">
        <f>IFERROR(C64/D64, 0)</f>
        <v>1463.4146341463415</v>
      </c>
    </row>
    <row r="65" spans="2:5" ht="16.5" customHeight="1" x14ac:dyDescent="0.25">
      <c r="B65" s="19" t="s">
        <v>22</v>
      </c>
      <c r="C65" s="14">
        <f>Q18</f>
        <v>1300</v>
      </c>
      <c r="D65" s="14">
        <f>Q25</f>
        <v>1.0249999999999999</v>
      </c>
      <c r="E65" s="14">
        <f t="shared" ref="E65:E76" si="1">IFERROR(C65/D65, 0)</f>
        <v>1268.2926829268295</v>
      </c>
    </row>
    <row r="66" spans="2:5" ht="16.5" customHeight="1" x14ac:dyDescent="0.25">
      <c r="B66" s="19" t="s">
        <v>23</v>
      </c>
      <c r="C66" s="14">
        <f>O14</f>
        <v>0</v>
      </c>
      <c r="D66" s="14">
        <f>O23</f>
        <v>1</v>
      </c>
      <c r="E66" s="14">
        <f t="shared" si="1"/>
        <v>0</v>
      </c>
    </row>
    <row r="67" spans="2:5" ht="16.5" customHeight="1" x14ac:dyDescent="0.25">
      <c r="B67" s="19" t="s">
        <v>24</v>
      </c>
      <c r="C67" s="14">
        <f>O16</f>
        <v>20</v>
      </c>
      <c r="D67" s="14">
        <f>O24</f>
        <v>1</v>
      </c>
      <c r="E67" s="14">
        <f t="shared" si="1"/>
        <v>20</v>
      </c>
    </row>
    <row r="68" spans="2:5" ht="16.5" customHeight="1" x14ac:dyDescent="0.25">
      <c r="B68" s="19" t="s">
        <v>25</v>
      </c>
      <c r="C68" s="14">
        <f>O18</f>
        <v>30</v>
      </c>
      <c r="D68" s="14">
        <f>O25</f>
        <v>1</v>
      </c>
      <c r="E68" s="14">
        <f t="shared" si="1"/>
        <v>30</v>
      </c>
    </row>
    <row r="69" spans="2:5" ht="16.5" customHeight="1" x14ac:dyDescent="0.25">
      <c r="B69" s="19" t="s">
        <v>26</v>
      </c>
      <c r="C69" s="14">
        <f>K14</f>
        <v>1700</v>
      </c>
      <c r="D69" s="14">
        <f>K23</f>
        <v>1.0249999999999999</v>
      </c>
      <c r="E69" s="14">
        <f t="shared" si="1"/>
        <v>1658.5365853658539</v>
      </c>
    </row>
    <row r="70" spans="2:5" ht="16.5" customHeight="1" x14ac:dyDescent="0.25">
      <c r="B70" s="19" t="s">
        <v>27</v>
      </c>
      <c r="C70" s="14">
        <f>K16</f>
        <v>1700</v>
      </c>
      <c r="D70" s="14">
        <f>K24</f>
        <v>1.0249999999999999</v>
      </c>
      <c r="E70" s="14">
        <f t="shared" si="1"/>
        <v>1658.5365853658539</v>
      </c>
    </row>
    <row r="71" spans="2:5" ht="16.5" customHeight="1" x14ac:dyDescent="0.25">
      <c r="B71" s="19" t="s">
        <v>28</v>
      </c>
      <c r="C71" s="14">
        <f>K18</f>
        <v>1700</v>
      </c>
      <c r="D71" s="14">
        <f>K25</f>
        <v>1.0249999999999999</v>
      </c>
      <c r="E71" s="14">
        <f t="shared" si="1"/>
        <v>1658.5365853658539</v>
      </c>
    </row>
    <row r="72" spans="2:5" ht="16.5" customHeight="1" x14ac:dyDescent="0.25">
      <c r="B72" s="19" t="s">
        <v>29</v>
      </c>
      <c r="C72" s="14">
        <f>G14</f>
        <v>100</v>
      </c>
      <c r="D72" s="14">
        <f>G23</f>
        <v>0.96499999999999997</v>
      </c>
      <c r="E72" s="14">
        <f t="shared" si="1"/>
        <v>103.62694300518135</v>
      </c>
    </row>
    <row r="73" spans="2:5" ht="16.5" customHeight="1" x14ac:dyDescent="0.25">
      <c r="B73" s="19" t="s">
        <v>30</v>
      </c>
      <c r="C73" s="14">
        <f>G16</f>
        <v>100</v>
      </c>
      <c r="D73" s="14">
        <f>G24</f>
        <v>0.96499999999999997</v>
      </c>
      <c r="E73" s="14">
        <f t="shared" si="1"/>
        <v>103.62694300518135</v>
      </c>
    </row>
    <row r="74" spans="2:5" ht="16.5" customHeight="1" x14ac:dyDescent="0.25">
      <c r="B74" s="19" t="s">
        <v>31</v>
      </c>
      <c r="C74" s="14">
        <f>G18</f>
        <v>180</v>
      </c>
      <c r="D74" s="14">
        <f>G25</f>
        <v>0.96499999999999997</v>
      </c>
      <c r="E74" s="14">
        <f t="shared" si="1"/>
        <v>186.52849740932643</v>
      </c>
    </row>
    <row r="75" spans="2:5" ht="16.5" customHeight="1" x14ac:dyDescent="0.25">
      <c r="B75" s="19" t="s">
        <v>121</v>
      </c>
      <c r="C75" s="14">
        <f>U14</f>
        <v>1000</v>
      </c>
      <c r="D75" s="14">
        <f>U23</f>
        <v>1.0249999999999999</v>
      </c>
      <c r="E75" s="14">
        <f t="shared" si="1"/>
        <v>975.6097560975611</v>
      </c>
    </row>
    <row r="76" spans="2:5" ht="16.5" customHeight="1" x14ac:dyDescent="0.25">
      <c r="B76" s="19" t="s">
        <v>122</v>
      </c>
      <c r="C76" s="14">
        <f>F14</f>
        <v>1000</v>
      </c>
      <c r="D76" s="14">
        <f>F23</f>
        <v>1.0249999999999999</v>
      </c>
      <c r="E76" s="14">
        <f t="shared" si="1"/>
        <v>975.6097560975611</v>
      </c>
    </row>
    <row r="77" spans="2:5" ht="16.5" customHeight="1" x14ac:dyDescent="0.25">
      <c r="B77" s="19" t="s">
        <v>74</v>
      </c>
      <c r="C77" s="14">
        <f>SUM(C56:C76)</f>
        <v>11730</v>
      </c>
      <c r="D77" s="13" t="s">
        <v>34</v>
      </c>
      <c r="E77" s="14">
        <f>SUM(E56:E76)</f>
        <v>11468.17262732213</v>
      </c>
    </row>
  </sheetData>
  <mergeCells count="102">
    <mergeCell ref="U28:U32"/>
    <mergeCell ref="D30:E30"/>
    <mergeCell ref="D31:E31"/>
    <mergeCell ref="D32:E32"/>
    <mergeCell ref="F28:T28"/>
    <mergeCell ref="F29:T29"/>
    <mergeCell ref="F30:T30"/>
    <mergeCell ref="F31:T31"/>
    <mergeCell ref="F32:T32"/>
    <mergeCell ref="D23:E25"/>
    <mergeCell ref="U23:U25"/>
    <mergeCell ref="F23:F25"/>
    <mergeCell ref="D28:E28"/>
    <mergeCell ref="D29:E29"/>
    <mergeCell ref="B47:C47"/>
    <mergeCell ref="B50:E50"/>
    <mergeCell ref="F47:N47"/>
    <mergeCell ref="O44:P46"/>
    <mergeCell ref="Q44:Y46"/>
    <mergeCell ref="F45:N45"/>
    <mergeCell ref="F46:N46"/>
    <mergeCell ref="Q47:Y47"/>
    <mergeCell ref="O47:P47"/>
    <mergeCell ref="O48:P48"/>
    <mergeCell ref="D48:E48"/>
    <mergeCell ref="D44:E44"/>
    <mergeCell ref="D45:E45"/>
    <mergeCell ref="D46:E46"/>
    <mergeCell ref="D47:E47"/>
    <mergeCell ref="F44:N44"/>
    <mergeCell ref="D40:N40"/>
    <mergeCell ref="O40:Y40"/>
    <mergeCell ref="D41:E41"/>
    <mergeCell ref="D42:E42"/>
    <mergeCell ref="D43:E43"/>
    <mergeCell ref="F41:N41"/>
    <mergeCell ref="F42:N42"/>
    <mergeCell ref="F43:N43"/>
    <mergeCell ref="O41:P41"/>
    <mergeCell ref="O42:P42"/>
    <mergeCell ref="O43:P43"/>
    <mergeCell ref="Q41:Y41"/>
    <mergeCell ref="Q42:Y42"/>
    <mergeCell ref="Q43:Y43"/>
    <mergeCell ref="B7:B13"/>
    <mergeCell ref="B14:B19"/>
    <mergeCell ref="D37:Y38"/>
    <mergeCell ref="K18:N19"/>
    <mergeCell ref="Q23:T23"/>
    <mergeCell ref="Q24:T24"/>
    <mergeCell ref="Q25:T25"/>
    <mergeCell ref="Q16:T17"/>
    <mergeCell ref="Q18:T19"/>
    <mergeCell ref="K23:N23"/>
    <mergeCell ref="K24:N24"/>
    <mergeCell ref="K25:N25"/>
    <mergeCell ref="G14:J15"/>
    <mergeCell ref="K14:N15"/>
    <mergeCell ref="G16:J17"/>
    <mergeCell ref="G18:J19"/>
    <mergeCell ref="G23:J23"/>
    <mergeCell ref="G24:J24"/>
    <mergeCell ref="O25:P25"/>
    <mergeCell ref="G25:J25"/>
    <mergeCell ref="O24:P24"/>
    <mergeCell ref="O18:P19"/>
    <mergeCell ref="O23:P23"/>
    <mergeCell ref="O22:P22"/>
    <mergeCell ref="G22:H22"/>
    <mergeCell ref="I22:J22"/>
    <mergeCell ref="K22:L22"/>
    <mergeCell ref="M22:N22"/>
    <mergeCell ref="D22:E22"/>
    <mergeCell ref="D2:Y2"/>
    <mergeCell ref="Z14:Z15"/>
    <mergeCell ref="Z16:Z17"/>
    <mergeCell ref="Z18:Z19"/>
    <mergeCell ref="U14:U19"/>
    <mergeCell ref="F14:F19"/>
    <mergeCell ref="U7:U13"/>
    <mergeCell ref="F7:F13"/>
    <mergeCell ref="G7:H7"/>
    <mergeCell ref="I7:J7"/>
    <mergeCell ref="Q7:R7"/>
    <mergeCell ref="S7:T7"/>
    <mergeCell ref="M7:N7"/>
    <mergeCell ref="O7:P7"/>
    <mergeCell ref="Q8:R13"/>
    <mergeCell ref="S8:T13"/>
    <mergeCell ref="D3:Y3"/>
    <mergeCell ref="G8:H13"/>
    <mergeCell ref="I8:J13"/>
    <mergeCell ref="K8:L13"/>
    <mergeCell ref="M8:N13"/>
    <mergeCell ref="O8:P13"/>
    <mergeCell ref="S22:T22"/>
    <mergeCell ref="Q14:T15"/>
    <mergeCell ref="O14:P15"/>
    <mergeCell ref="K7:L7"/>
    <mergeCell ref="K16:N17"/>
    <mergeCell ref="O16:P17"/>
    <mergeCell ref="Q22:R22"/>
  </mergeCells>
  <pageMargins left="0.7" right="0.7" top="0.75" bottom="0.75" header="0.3" footer="0.3"/>
  <pageSetup paperSize="9" scale="25" fitToWidth="0" fitToHeight="0" orientation="portrait" r:id="rId1"/>
  <colBreaks count="1" manualBreakCount="1">
    <brk id="2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32528-8C91-4086-B026-1BC7BE1FE8A4}">
  <dimension ref="B2:P36"/>
  <sheetViews>
    <sheetView zoomScale="85" zoomScaleNormal="85" workbookViewId="0">
      <selection activeCell="M33" sqref="M33"/>
    </sheetView>
  </sheetViews>
  <sheetFormatPr defaultRowHeight="15" x14ac:dyDescent="0.25"/>
  <cols>
    <col min="2" max="2" width="22.7109375" bestFit="1" customWidth="1"/>
    <col min="3" max="3" width="12" customWidth="1"/>
    <col min="4" max="4" width="9.5703125" bestFit="1" customWidth="1"/>
    <col min="5" max="5" width="9.5703125" customWidth="1"/>
    <col min="6" max="6" width="23.5703125" bestFit="1" customWidth="1"/>
    <col min="7" max="7" width="25.7109375" bestFit="1" customWidth="1"/>
    <col min="9" max="9" width="23.7109375" bestFit="1" customWidth="1"/>
    <col min="10" max="10" width="13.7109375" customWidth="1"/>
    <col min="11" max="11" width="9.5703125" bestFit="1" customWidth="1"/>
    <col min="12" max="12" width="11.7109375" bestFit="1" customWidth="1"/>
    <col min="13" max="13" width="26.7109375" bestFit="1" customWidth="1"/>
  </cols>
  <sheetData>
    <row r="2" spans="2:16" x14ac:dyDescent="0.25">
      <c r="B2" s="20" t="s">
        <v>71</v>
      </c>
      <c r="C2" s="20" t="s">
        <v>75</v>
      </c>
      <c r="D2" s="20" t="s">
        <v>76</v>
      </c>
      <c r="E2" s="20" t="s">
        <v>84</v>
      </c>
      <c r="F2" s="20" t="s">
        <v>111</v>
      </c>
      <c r="G2" s="20" t="s">
        <v>77</v>
      </c>
      <c r="I2" s="10" t="s">
        <v>73</v>
      </c>
      <c r="J2" s="10" t="s">
        <v>78</v>
      </c>
      <c r="K2" s="10" t="s">
        <v>76</v>
      </c>
      <c r="L2" s="10" t="s">
        <v>86</v>
      </c>
      <c r="M2" s="10" t="s">
        <v>79</v>
      </c>
    </row>
    <row r="3" spans="2:16" x14ac:dyDescent="0.25">
      <c r="B3" s="23" t="s">
        <v>72</v>
      </c>
      <c r="C3" s="24">
        <f>'DADOS NAVIO'!C11</f>
        <v>11.2</v>
      </c>
      <c r="D3" s="24">
        <f>'DADOS NAVIO'!C9</f>
        <v>13280</v>
      </c>
      <c r="E3" s="24" t="s">
        <v>34</v>
      </c>
      <c r="F3" s="24" t="s">
        <v>34</v>
      </c>
      <c r="G3" s="24">
        <f>C3*D3</f>
        <v>148736</v>
      </c>
      <c r="H3" s="15"/>
      <c r="I3" s="25" t="s">
        <v>72</v>
      </c>
      <c r="J3" s="25">
        <f>'DADOS NAVIO'!C12</f>
        <v>14.72</v>
      </c>
      <c r="K3" s="25">
        <f>'DADOS NAVIO'!C9</f>
        <v>13280</v>
      </c>
      <c r="L3" s="25">
        <f>'DADOS NAVIO'!C8</f>
        <v>2.2570000000000001</v>
      </c>
      <c r="M3" s="25">
        <f>J3*K3</f>
        <v>195481.60000000001</v>
      </c>
    </row>
    <row r="4" spans="2:16" x14ac:dyDescent="0.25">
      <c r="B4" s="26" t="s">
        <v>12</v>
      </c>
      <c r="C4" s="13">
        <f>'DADOS TQ&amp;PORÃO'!D3 + ('CÁLCULO ESTABILIDADE'!E56/'DADOS TQ&amp;PORÃO'!I3)/2</f>
        <v>2</v>
      </c>
      <c r="D4" s="13">
        <f>'CÁLCULO ESTABILIDADE'!C56</f>
        <v>0</v>
      </c>
      <c r="E4" s="13" t="s">
        <v>34</v>
      </c>
      <c r="F4" s="13" t="s">
        <v>34</v>
      </c>
      <c r="G4" s="13">
        <f t="shared" ref="G4:G24" si="0">C4*D4</f>
        <v>0</v>
      </c>
      <c r="H4" s="15"/>
      <c r="I4" s="27" t="s">
        <v>12</v>
      </c>
      <c r="J4" s="14">
        <f>'DADOS TQ&amp;PORÃO'!C3</f>
        <v>-88.1</v>
      </c>
      <c r="K4" s="14">
        <f>'CÁLCULO ESTABILIDADE'!C56</f>
        <v>0</v>
      </c>
      <c r="L4" s="14">
        <f>(K4/'DADOS NAVIO'!$C$29)/100</f>
        <v>0</v>
      </c>
      <c r="M4" s="14">
        <f t="shared" ref="M4:M24" si="1">J4*K4</f>
        <v>0</v>
      </c>
    </row>
    <row r="5" spans="2:16" x14ac:dyDescent="0.25">
      <c r="B5" s="26" t="s">
        <v>13</v>
      </c>
      <c r="C5" s="13">
        <f>'DADOS TQ&amp;PORÃO'!D4 + ('CÁLCULO ESTABILIDADE'!E57/'DADOS TQ&amp;PORÃO'!I4)/2</f>
        <v>2</v>
      </c>
      <c r="D5" s="13">
        <f>'CÁLCULO ESTABILIDADE'!C57</f>
        <v>0</v>
      </c>
      <c r="E5" s="13" t="s">
        <v>34</v>
      </c>
      <c r="F5" s="13" t="s">
        <v>34</v>
      </c>
      <c r="G5" s="13">
        <f t="shared" si="0"/>
        <v>0</v>
      </c>
      <c r="H5" s="15"/>
      <c r="I5" s="27" t="s">
        <v>13</v>
      </c>
      <c r="J5" s="14">
        <f>'DADOS TQ&amp;PORÃO'!C4</f>
        <v>-62.5</v>
      </c>
      <c r="K5" s="14">
        <f>'CÁLCULO ESTABILIDADE'!C57</f>
        <v>0</v>
      </c>
      <c r="L5" s="14">
        <f>(K5/'DADOS NAVIO'!$C$29)/100</f>
        <v>0</v>
      </c>
      <c r="M5" s="14">
        <f t="shared" si="1"/>
        <v>0</v>
      </c>
    </row>
    <row r="6" spans="2:16" x14ac:dyDescent="0.25">
      <c r="B6" s="26" t="s">
        <v>14</v>
      </c>
      <c r="C6" s="13">
        <f>'DADOS TQ&amp;PORÃO'!D5 + ('CÁLCULO ESTABILIDADE'!E58/'DADOS TQ&amp;PORÃO'!I5)/2</f>
        <v>2</v>
      </c>
      <c r="D6" s="13">
        <f>'CÁLCULO ESTABILIDADE'!C58</f>
        <v>0</v>
      </c>
      <c r="E6" s="13" t="s">
        <v>34</v>
      </c>
      <c r="F6" s="13" t="s">
        <v>34</v>
      </c>
      <c r="G6" s="13">
        <f t="shared" si="0"/>
        <v>0</v>
      </c>
      <c r="H6" s="15"/>
      <c r="I6" s="27" t="s">
        <v>14</v>
      </c>
      <c r="J6" s="14">
        <f>'DADOS TQ&amp;PORÃO'!C5</f>
        <v>-36.5</v>
      </c>
      <c r="K6" s="14">
        <f>'CÁLCULO ESTABILIDADE'!C58</f>
        <v>0</v>
      </c>
      <c r="L6" s="14">
        <f>(K6/'DADOS NAVIO'!$C$29)/100</f>
        <v>0</v>
      </c>
      <c r="M6" s="14">
        <f>J6*K6</f>
        <v>0</v>
      </c>
      <c r="P6" s="21"/>
    </row>
    <row r="7" spans="2:16" x14ac:dyDescent="0.25">
      <c r="B7" s="26" t="s">
        <v>15</v>
      </c>
      <c r="C7" s="13">
        <f>'DADOS TQ&amp;PORÃO'!D6 + ('CÁLCULO ESTABILIDADE'!E59/'DADOS TQ&amp;PORÃO'!I6)/2</f>
        <v>2</v>
      </c>
      <c r="D7" s="13">
        <f>'CÁLCULO ESTABILIDADE'!C59</f>
        <v>0</v>
      </c>
      <c r="E7" s="13" t="s">
        <v>34</v>
      </c>
      <c r="F7" s="13" t="s">
        <v>34</v>
      </c>
      <c r="G7" s="13">
        <f t="shared" si="0"/>
        <v>0</v>
      </c>
      <c r="H7" s="15"/>
      <c r="I7" s="27" t="s">
        <v>15</v>
      </c>
      <c r="J7" s="14">
        <f>'DADOS TQ&amp;PORÃO'!C6</f>
        <v>-10.1</v>
      </c>
      <c r="K7" s="14">
        <f>'CÁLCULO ESTABILIDADE'!C59</f>
        <v>0</v>
      </c>
      <c r="L7" s="14">
        <f>(K7/'DADOS NAVIO'!$C$29)/100</f>
        <v>0</v>
      </c>
      <c r="M7" s="14">
        <f t="shared" si="1"/>
        <v>0</v>
      </c>
    </row>
    <row r="8" spans="2:16" x14ac:dyDescent="0.25">
      <c r="B8" s="26" t="s">
        <v>16</v>
      </c>
      <c r="C8" s="13">
        <f>'DADOS TQ&amp;PORÃO'!D7 + ('CÁLCULO ESTABILIDADE'!E60/'DADOS TQ&amp;PORÃO'!I7)/2</f>
        <v>2</v>
      </c>
      <c r="D8" s="13">
        <f>'CÁLCULO ESTABILIDADE'!C60</f>
        <v>0</v>
      </c>
      <c r="E8" s="13" t="s">
        <v>34</v>
      </c>
      <c r="F8" s="13" t="s">
        <v>34</v>
      </c>
      <c r="G8" s="13">
        <f t="shared" si="0"/>
        <v>0</v>
      </c>
      <c r="H8" s="15"/>
      <c r="I8" s="27" t="s">
        <v>16</v>
      </c>
      <c r="J8" s="14">
        <f>'DADOS TQ&amp;PORÃO'!C7</f>
        <v>16.399999999999999</v>
      </c>
      <c r="K8" s="14">
        <f>'CÁLCULO ESTABILIDADE'!C60</f>
        <v>0</v>
      </c>
      <c r="L8" s="14">
        <f>(K8/'DADOS NAVIO'!$C$29)/100</f>
        <v>0</v>
      </c>
      <c r="M8" s="14">
        <f t="shared" si="1"/>
        <v>0</v>
      </c>
    </row>
    <row r="9" spans="2:16" x14ac:dyDescent="0.25">
      <c r="B9" s="26" t="s">
        <v>17</v>
      </c>
      <c r="C9" s="13">
        <f>'DADOS TQ&amp;PORÃO'!D8 + ('CÁLCULO ESTABILIDADE'!E61/'DADOS TQ&amp;PORÃO'!I8)/2</f>
        <v>2</v>
      </c>
      <c r="D9" s="13">
        <f>'CÁLCULO ESTABILIDADE'!C61</f>
        <v>0</v>
      </c>
      <c r="E9" s="13" t="s">
        <v>34</v>
      </c>
      <c r="F9" s="13" t="s">
        <v>34</v>
      </c>
      <c r="G9" s="13">
        <f t="shared" si="0"/>
        <v>0</v>
      </c>
      <c r="H9" s="15"/>
      <c r="I9" s="27" t="s">
        <v>17</v>
      </c>
      <c r="J9" s="14">
        <f>'DADOS TQ&amp;PORÃO'!C8</f>
        <v>42.8</v>
      </c>
      <c r="K9" s="14">
        <f>'CÁLCULO ESTABILIDADE'!C61</f>
        <v>0</v>
      </c>
      <c r="L9" s="14">
        <f>(K9/'DADOS NAVIO'!$C$29)/100</f>
        <v>0</v>
      </c>
      <c r="M9" s="14">
        <f t="shared" si="1"/>
        <v>0</v>
      </c>
    </row>
    <row r="10" spans="2:16" x14ac:dyDescent="0.25">
      <c r="B10" s="26" t="s">
        <v>18</v>
      </c>
      <c r="C10" s="13">
        <f>'DADOS TQ&amp;PORÃO'!D9 + ('CÁLCULO ESTABILIDADE'!E62/'DADOS TQ&amp;PORÃO'!I9)/2</f>
        <v>2</v>
      </c>
      <c r="D10" s="13">
        <f>'CÁLCULO ESTABILIDADE'!C62</f>
        <v>0</v>
      </c>
      <c r="E10" s="13" t="s">
        <v>34</v>
      </c>
      <c r="F10" s="13" t="s">
        <v>34</v>
      </c>
      <c r="G10" s="13">
        <f t="shared" si="0"/>
        <v>0</v>
      </c>
      <c r="H10" s="15"/>
      <c r="I10" s="27" t="s">
        <v>18</v>
      </c>
      <c r="J10" s="14">
        <f>'DADOS TQ&amp;PORÃO'!C9</f>
        <v>69.3</v>
      </c>
      <c r="K10" s="14">
        <f>'CÁLCULO ESTABILIDADE'!C62</f>
        <v>0</v>
      </c>
      <c r="L10" s="14">
        <f>(K10/'DADOS NAVIO'!$C$29)/100</f>
        <v>0</v>
      </c>
      <c r="M10" s="14">
        <f t="shared" si="1"/>
        <v>0</v>
      </c>
    </row>
    <row r="11" spans="2:16" x14ac:dyDescent="0.25">
      <c r="B11" s="26" t="s">
        <v>20</v>
      </c>
      <c r="C11" s="13">
        <f>'DADOS TQ&amp;PORÃO'!D10 + ('CÁLCULO ESTABILIDADE'!E63/'DADOS TQ&amp;PORÃO'!I10)/2</f>
        <v>6.8626723223753983</v>
      </c>
      <c r="D11" s="13">
        <f>'CÁLCULO ESTABILIDADE'!C63</f>
        <v>1400</v>
      </c>
      <c r="E11" s="13">
        <f>'DADOS TQ&amp;PORÃO'!F10*'CÁLCULO ESTABILIDADE'!D63/$D$25</f>
        <v>3.66575591985428E-2</v>
      </c>
      <c r="F11" s="13">
        <f>D11*'DADOS TQ&amp;PORÃO'!E10</f>
        <v>-14000</v>
      </c>
      <c r="G11" s="13">
        <f t="shared" si="0"/>
        <v>9607.7412513255567</v>
      </c>
      <c r="H11" s="15"/>
      <c r="I11" s="27" t="s">
        <v>20</v>
      </c>
      <c r="J11" s="14">
        <f>'DADOS TQ&amp;PORÃO'!C10</f>
        <v>-75.3</v>
      </c>
      <c r="K11" s="14">
        <f>'CÁLCULO ESTABILIDADE'!C63</f>
        <v>1400</v>
      </c>
      <c r="L11" s="14">
        <f>(K11/'DADOS NAVIO'!$C$29)/100</f>
        <v>0.21849124103156162</v>
      </c>
      <c r="M11" s="14">
        <f t="shared" si="1"/>
        <v>-105420</v>
      </c>
    </row>
    <row r="12" spans="2:16" x14ac:dyDescent="0.25">
      <c r="B12" s="26" t="s">
        <v>21</v>
      </c>
      <c r="C12" s="13">
        <f>'DADOS TQ&amp;PORÃO'!D11 + ('CÁLCULO ESTABILIDADE'!E64/'DADOS TQ&amp;PORÃO'!I11)/2</f>
        <v>7.6736011477761839</v>
      </c>
      <c r="D12" s="13">
        <f>'CÁLCULO ESTABILIDADE'!C64</f>
        <v>1500</v>
      </c>
      <c r="E12" s="13">
        <f>'DADOS TQ&amp;PORÃO'!F11*'CÁLCULO ESTABILIDADE'!D64/$D$25</f>
        <v>3.4836065573770489E-2</v>
      </c>
      <c r="F12" s="13">
        <f>D12*'DADOS TQ&amp;PORÃO'!E11</f>
        <v>0</v>
      </c>
      <c r="G12" s="13">
        <f t="shared" si="0"/>
        <v>11510.401721664275</v>
      </c>
      <c r="H12" s="15"/>
      <c r="I12" s="27" t="s">
        <v>21</v>
      </c>
      <c r="J12" s="14">
        <f>'DADOS TQ&amp;PORÃO'!C11</f>
        <v>-75.3</v>
      </c>
      <c r="K12" s="14">
        <f>'CÁLCULO ESTABILIDADE'!C64</f>
        <v>1500</v>
      </c>
      <c r="L12" s="14">
        <f>(K12/'DADOS NAVIO'!$C$29)/100</f>
        <v>0.23409775824810172</v>
      </c>
      <c r="M12" s="14">
        <f t="shared" si="1"/>
        <v>-112950</v>
      </c>
    </row>
    <row r="13" spans="2:16" x14ac:dyDescent="0.25">
      <c r="B13" s="26" t="s">
        <v>22</v>
      </c>
      <c r="C13" s="13">
        <f>'DADOS TQ&amp;PORÃO'!D12 + ('CÁLCULO ESTABILIDADE'!E65/'DADOS TQ&amp;PORÃO'!I12)/2</f>
        <v>6.482512655315233</v>
      </c>
      <c r="D13" s="13">
        <f>'CÁLCULO ESTABILIDADE'!C65</f>
        <v>1300</v>
      </c>
      <c r="E13" s="13">
        <f>'DADOS TQ&amp;PORÃO'!F12*'CÁLCULO ESTABILIDADE'!D65/$D$25</f>
        <v>3.6202185792349725E-2</v>
      </c>
      <c r="F13" s="13">
        <f>D13*'DADOS TQ&amp;PORÃO'!E12</f>
        <v>13000</v>
      </c>
      <c r="G13" s="13">
        <f t="shared" si="0"/>
        <v>8427.2664519098034</v>
      </c>
      <c r="H13" s="15"/>
      <c r="I13" s="27" t="s">
        <v>22</v>
      </c>
      <c r="J13" s="14">
        <f>'DADOS TQ&amp;PORÃO'!C12</f>
        <v>-75.3</v>
      </c>
      <c r="K13" s="14">
        <f>'CÁLCULO ESTABILIDADE'!C65</f>
        <v>1300</v>
      </c>
      <c r="L13" s="14">
        <f>(K13/'DADOS NAVIO'!$C$29)/100</f>
        <v>0.20288472381502148</v>
      </c>
      <c r="M13" s="14">
        <f t="shared" si="1"/>
        <v>-97890</v>
      </c>
    </row>
    <row r="14" spans="2:16" x14ac:dyDescent="0.25">
      <c r="B14" s="26" t="s">
        <v>23</v>
      </c>
      <c r="C14" s="13">
        <f>'DADOS TQ&amp;PORÃO'!D13 + ('CÁLCULO ESTABILIDADE'!E66/'DADOS TQ&amp;PORÃO'!I13)/2</f>
        <v>0.5</v>
      </c>
      <c r="D14" s="13">
        <f>'CÁLCULO ESTABILIDADE'!C66</f>
        <v>0</v>
      </c>
      <c r="E14" s="13">
        <f>'DADOS TQ&amp;PORÃO'!F13*'CÁLCULO ESTABILIDADE'!D66/$D$25</f>
        <v>3.509707228219823E-2</v>
      </c>
      <c r="F14" s="13">
        <f>D14*'DADOS TQ&amp;PORÃO'!E13</f>
        <v>0</v>
      </c>
      <c r="G14" s="13">
        <f t="shared" si="0"/>
        <v>0</v>
      </c>
      <c r="H14" s="15"/>
      <c r="I14" s="27" t="s">
        <v>23</v>
      </c>
      <c r="J14" s="14">
        <f>'DADOS TQ&amp;PORÃO'!C13</f>
        <v>-36.5</v>
      </c>
      <c r="K14" s="14">
        <f>'CÁLCULO ESTABILIDADE'!C66</f>
        <v>0</v>
      </c>
      <c r="L14" s="14">
        <f>(K14/'DADOS NAVIO'!$C$29)/100</f>
        <v>0</v>
      </c>
      <c r="M14" s="14">
        <f t="shared" si="1"/>
        <v>0</v>
      </c>
    </row>
    <row r="15" spans="2:16" x14ac:dyDescent="0.25">
      <c r="B15" s="26" t="s">
        <v>24</v>
      </c>
      <c r="C15" s="13">
        <f>'DADOS TQ&amp;PORÃO'!D14 + ('CÁLCULO ESTABILIDADE'!E67/'DADOS TQ&amp;PORÃO'!I14)/2</f>
        <v>0.59146341463414631</v>
      </c>
      <c r="D15" s="13">
        <f>'CÁLCULO ESTABILIDADE'!C67</f>
        <v>20</v>
      </c>
      <c r="E15" s="13">
        <f>'DADOS TQ&amp;PORÃO'!F14*'CÁLCULO ESTABILIDADE'!D67/$D$25</f>
        <v>3.6429872495446262E-2</v>
      </c>
      <c r="F15" s="13">
        <f>D15*'DADOS TQ&amp;PORÃO'!E14</f>
        <v>0</v>
      </c>
      <c r="G15" s="13">
        <f>C15*D15</f>
        <v>11.829268292682926</v>
      </c>
      <c r="H15" s="15"/>
      <c r="I15" s="27" t="s">
        <v>24</v>
      </c>
      <c r="J15" s="14">
        <f>'DADOS TQ&amp;PORÃO'!C14</f>
        <v>-36.5</v>
      </c>
      <c r="K15" s="14">
        <f>'CÁLCULO ESTABILIDADE'!C67</f>
        <v>20</v>
      </c>
      <c r="L15" s="14">
        <f>(K15/'DADOS NAVIO'!$C$29)/100</f>
        <v>3.1213034433080229E-3</v>
      </c>
      <c r="M15" s="14">
        <f t="shared" si="1"/>
        <v>-730</v>
      </c>
    </row>
    <row r="16" spans="2:16" x14ac:dyDescent="0.25">
      <c r="B16" s="26" t="s">
        <v>25</v>
      </c>
      <c r="C16" s="13">
        <f>'DADOS TQ&amp;PORÃO'!D15 + ('CÁLCULO ESTABILIDADE'!E68/'DADOS TQ&amp;PORÃO'!I15)/2</f>
        <v>0.63888888888888884</v>
      </c>
      <c r="D16" s="13">
        <f>'CÁLCULO ESTABILIDADE'!C68</f>
        <v>30</v>
      </c>
      <c r="E16" s="13">
        <f>'DADOS TQ&amp;PORÃO'!F15*'CÁLCULO ESTABILIDADE'!D68/$D$25</f>
        <v>3.5985605757696923E-2</v>
      </c>
      <c r="F16" s="13">
        <f>D16*'DADOS TQ&amp;PORÃO'!E15</f>
        <v>300</v>
      </c>
      <c r="G16" s="13">
        <f t="shared" si="0"/>
        <v>19.166666666666664</v>
      </c>
      <c r="H16" s="15"/>
      <c r="I16" s="27" t="s">
        <v>25</v>
      </c>
      <c r="J16" s="14">
        <f>'DADOS TQ&amp;PORÃO'!C15</f>
        <v>-36.5</v>
      </c>
      <c r="K16" s="14">
        <f>'CÁLCULO ESTABILIDADE'!C68</f>
        <v>30</v>
      </c>
      <c r="L16" s="14">
        <f>(K16/'DADOS NAVIO'!$C$29)/100</f>
        <v>4.6819551649620343E-3</v>
      </c>
      <c r="M16" s="14">
        <f t="shared" si="1"/>
        <v>-1095</v>
      </c>
    </row>
    <row r="17" spans="2:13" x14ac:dyDescent="0.25">
      <c r="B17" s="26" t="s">
        <v>26</v>
      </c>
      <c r="C17" s="13">
        <f>'DADOS TQ&amp;PORÃO'!D16 + ('CÁLCULO ESTABILIDADE'!E69/'DADOS TQ&amp;PORÃO'!I16)/2</f>
        <v>8.7926829268292686</v>
      </c>
      <c r="D17" s="13">
        <f>'CÁLCULO ESTABILIDADE'!C69</f>
        <v>1700</v>
      </c>
      <c r="E17" s="13">
        <f>'DADOS TQ&amp;PORÃO'!F16*'CÁLCULO ESTABILIDADE'!D69/$D$25</f>
        <v>3.4153005464480871E-2</v>
      </c>
      <c r="F17" s="13">
        <f>D17*'DADOS TQ&amp;PORÃO'!E16</f>
        <v>-17000</v>
      </c>
      <c r="G17" s="13">
        <f t="shared" si="0"/>
        <v>14947.560975609756</v>
      </c>
      <c r="H17" s="15"/>
      <c r="I17" s="27" t="s">
        <v>26</v>
      </c>
      <c r="J17" s="14">
        <f>'DADOS TQ&amp;PORÃO'!C16</f>
        <v>3.15</v>
      </c>
      <c r="K17" s="14">
        <f>'CÁLCULO ESTABILIDADE'!C69</f>
        <v>1700</v>
      </c>
      <c r="L17" s="14">
        <f>(K17/'DADOS NAVIO'!$C$29)/100</f>
        <v>0.26531079268118196</v>
      </c>
      <c r="M17" s="14">
        <f t="shared" si="1"/>
        <v>5355</v>
      </c>
    </row>
    <row r="18" spans="2:13" x14ac:dyDescent="0.25">
      <c r="B18" s="26" t="s">
        <v>27</v>
      </c>
      <c r="C18" s="13">
        <f>'DADOS TQ&amp;PORÃO'!D17 + ('CÁLCULO ESTABILIDADE'!E70/'DADOS TQ&amp;PORÃO'!I17)/2</f>
        <v>8.8483385169422171</v>
      </c>
      <c r="D18" s="13">
        <f>'CÁLCULO ESTABILIDADE'!C70</f>
        <v>1700</v>
      </c>
      <c r="E18" s="13">
        <f>'DADOS TQ&amp;PORÃO'!F17*'CÁLCULO ESTABILIDADE'!D70/$D$25</f>
        <v>3.3925318761384327E-2</v>
      </c>
      <c r="F18" s="13">
        <f>D18*'DADOS TQ&amp;PORÃO'!E17</f>
        <v>0</v>
      </c>
      <c r="G18" s="13">
        <f t="shared" si="0"/>
        <v>15042.17547880177</v>
      </c>
      <c r="H18" s="15"/>
      <c r="I18" s="27" t="s">
        <v>27</v>
      </c>
      <c r="J18" s="14">
        <f>'DADOS TQ&amp;PORÃO'!C17</f>
        <v>3.15</v>
      </c>
      <c r="K18" s="14">
        <f>'CÁLCULO ESTABILIDADE'!C70</f>
        <v>1700</v>
      </c>
      <c r="L18" s="14">
        <f>(K18/'DADOS NAVIO'!$C$29)/100</f>
        <v>0.26531079268118196</v>
      </c>
      <c r="M18" s="14">
        <f t="shared" si="1"/>
        <v>5355</v>
      </c>
    </row>
    <row r="19" spans="2:13" x14ac:dyDescent="0.25">
      <c r="B19" s="26" t="s">
        <v>28</v>
      </c>
      <c r="C19" s="13">
        <f>'DADOS TQ&amp;PORÃO'!D18 + ('CÁLCULO ESTABILIDADE'!E71/'DADOS TQ&amp;PORÃO'!I18)/2</f>
        <v>8.7926829268292686</v>
      </c>
      <c r="D19" s="13">
        <f>'CÁLCULO ESTABILIDADE'!C71</f>
        <v>1700</v>
      </c>
      <c r="E19" s="13">
        <f>'DADOS TQ&amp;PORÃO'!F18*'CÁLCULO ESTABILIDADE'!D71/$D$25</f>
        <v>3.4153005464480871E-2</v>
      </c>
      <c r="F19" s="13">
        <f>D19*'DADOS TQ&amp;PORÃO'!E18</f>
        <v>17000</v>
      </c>
      <c r="G19" s="13">
        <f t="shared" si="0"/>
        <v>14947.560975609756</v>
      </c>
      <c r="H19" s="15"/>
      <c r="I19" s="27" t="s">
        <v>28</v>
      </c>
      <c r="J19" s="14">
        <f>'DADOS TQ&amp;PORÃO'!C18</f>
        <v>3.15</v>
      </c>
      <c r="K19" s="14">
        <f>'CÁLCULO ESTABILIDADE'!C71</f>
        <v>1700</v>
      </c>
      <c r="L19" s="14">
        <f>(K19/'DADOS NAVIO'!$C$29)/100</f>
        <v>0.26531079268118196</v>
      </c>
      <c r="M19" s="14">
        <f t="shared" si="1"/>
        <v>5355</v>
      </c>
    </row>
    <row r="20" spans="2:13" x14ac:dyDescent="0.25">
      <c r="B20" s="26" t="s">
        <v>29</v>
      </c>
      <c r="C20" s="13">
        <f>'DADOS TQ&amp;PORÃO'!D19 + ('CÁLCULO ESTABILIDADE'!E72/'DADOS TQ&amp;PORÃO'!I19)/2</f>
        <v>0.99503316722220392</v>
      </c>
      <c r="D20" s="13">
        <f>'CÁLCULO ESTABILIDADE'!C72</f>
        <v>100</v>
      </c>
      <c r="E20" s="13">
        <f>'DADOS TQ&amp;PORÃO'!F19*'CÁLCULO ESTABILIDADE'!D72/$D$25</f>
        <v>3.3654316051357235E-2</v>
      </c>
      <c r="F20" s="13">
        <f>D20*'DADOS TQ&amp;PORÃO'!E19</f>
        <v>-1000</v>
      </c>
      <c r="G20" s="13">
        <f t="shared" si="0"/>
        <v>99.50331672222039</v>
      </c>
      <c r="H20" s="15"/>
      <c r="I20" s="27" t="s">
        <v>29</v>
      </c>
      <c r="J20" s="14">
        <f>'DADOS TQ&amp;PORÃO'!C19</f>
        <v>56.05</v>
      </c>
      <c r="K20" s="14">
        <f>'CÁLCULO ESTABILIDADE'!C72</f>
        <v>100</v>
      </c>
      <c r="L20" s="14">
        <f>(K20/'DADOS NAVIO'!$C$29)/100</f>
        <v>1.5606517216540114E-2</v>
      </c>
      <c r="M20" s="14">
        <f t="shared" si="1"/>
        <v>5605</v>
      </c>
    </row>
    <row r="21" spans="2:13" x14ac:dyDescent="0.25">
      <c r="B21" s="26" t="s">
        <v>30</v>
      </c>
      <c r="C21" s="13">
        <f>'DADOS TQ&amp;PORÃO'!D20 + ('CÁLCULO ESTABILIDADE'!E73/'DADOS TQ&amp;PORÃO'!I20)/2</f>
        <v>1.0181347150259068</v>
      </c>
      <c r="D21" s="13">
        <f>'CÁLCULO ESTABILIDADE'!C73</f>
        <v>100</v>
      </c>
      <c r="E21" s="13">
        <f>'DADOS TQ&amp;PORÃO'!F20*'CÁLCULO ESTABILIDADE'!D73/$D$25</f>
        <v>3.2153805144608819E-2</v>
      </c>
      <c r="F21" s="13">
        <f>D21*'DADOS TQ&amp;PORÃO'!E20</f>
        <v>0</v>
      </c>
      <c r="G21" s="13">
        <f t="shared" si="0"/>
        <v>101.81347150259069</v>
      </c>
      <c r="H21" s="15"/>
      <c r="I21" s="27" t="s">
        <v>30</v>
      </c>
      <c r="J21" s="14">
        <f>'DADOS TQ&amp;PORÃO'!C20</f>
        <v>56.05</v>
      </c>
      <c r="K21" s="14">
        <f>'CÁLCULO ESTABILIDADE'!C73</f>
        <v>100</v>
      </c>
      <c r="L21" s="14">
        <f>(K21/'DADOS NAVIO'!$C$29)/100</f>
        <v>1.5606517216540114E-2</v>
      </c>
      <c r="M21" s="14">
        <f t="shared" si="1"/>
        <v>5605</v>
      </c>
    </row>
    <row r="22" spans="2:13" x14ac:dyDescent="0.25">
      <c r="B22" s="28" t="s">
        <v>31</v>
      </c>
      <c r="C22" s="13">
        <f>'DADOS TQ&amp;PORÃO'!D21 + ('CÁLCULO ESTABILIDADE'!E74/'DADOS TQ&amp;PORÃO'!I21)/2</f>
        <v>1.3582599574048762</v>
      </c>
      <c r="D22" s="13">
        <f>'CÁLCULO ESTABILIDADE'!C74</f>
        <v>180</v>
      </c>
      <c r="E22" s="13">
        <f>'DADOS TQ&amp;PORÃO'!F21*'CÁLCULO ESTABILIDADE'!D74/$D$25</f>
        <v>3.4940468257141588E-2</v>
      </c>
      <c r="F22" s="13">
        <f>D22*'DADOS TQ&amp;PORÃO'!E21</f>
        <v>1800</v>
      </c>
      <c r="G22" s="13">
        <f t="shared" si="0"/>
        <v>244.48679233287771</v>
      </c>
      <c r="H22" s="15"/>
      <c r="I22" s="29" t="s">
        <v>31</v>
      </c>
      <c r="J22" s="14">
        <f>'DADOS TQ&amp;PORÃO'!C21</f>
        <v>56.05</v>
      </c>
      <c r="K22" s="14">
        <f>'CÁLCULO ESTABILIDADE'!C74</f>
        <v>180</v>
      </c>
      <c r="L22" s="14">
        <f>(K22/'DADOS NAVIO'!$C$29)/100</f>
        <v>2.8091730989772204E-2</v>
      </c>
      <c r="M22" s="14">
        <f t="shared" si="1"/>
        <v>10089</v>
      </c>
    </row>
    <row r="23" spans="2:13" x14ac:dyDescent="0.25">
      <c r="B23" s="26" t="s">
        <v>121</v>
      </c>
      <c r="C23" s="13">
        <f>'DADOS TQ&amp;PORÃO'!D22 + ('CÁLCULO ESTABILIDADE'!E75/'DADOS TQ&amp;PORÃO'!I22)/2</f>
        <v>2.3292682926829267</v>
      </c>
      <c r="D23" s="13">
        <f>'CÁLCULO ESTABILIDADE'!C75</f>
        <v>1000</v>
      </c>
      <c r="E23" s="13">
        <f>'DADOS TQ&amp;PORÃO'!F22*'CÁLCULO ESTABILIDADE'!D75/$D$25</f>
        <v>9.1074681238615646E-2</v>
      </c>
      <c r="F23" s="13">
        <f>D23*'DADOS TQ&amp;PORÃO'!E22</f>
        <v>0</v>
      </c>
      <c r="G23" s="13">
        <f t="shared" si="0"/>
        <v>2329.2682926829266</v>
      </c>
      <c r="H23" s="15"/>
      <c r="I23" s="27" t="s">
        <v>121</v>
      </c>
      <c r="J23" s="14">
        <f>'DADOS TQ&amp;PORÃO'!C22</f>
        <v>-105</v>
      </c>
      <c r="K23" s="14">
        <f>'CÁLCULO ESTABILIDADE'!C75</f>
        <v>1000</v>
      </c>
      <c r="L23" s="14">
        <f>(K23/'DADOS NAVIO'!$C$29)/100</f>
        <v>0.15606517216540114</v>
      </c>
      <c r="M23" s="14">
        <f>J23*K23</f>
        <v>-105000</v>
      </c>
    </row>
    <row r="24" spans="2:13" x14ac:dyDescent="0.25">
      <c r="B24" s="26" t="s">
        <v>122</v>
      </c>
      <c r="C24" s="13">
        <f>'DADOS TQ&amp;PORÃO'!D23 + ('CÁLCULO ESTABILIDADE'!E76/'DADOS TQ&amp;PORÃO'!I23)/2</f>
        <v>2.1260162601626016</v>
      </c>
      <c r="D24" s="13">
        <f>'CÁLCULO ESTABILIDADE'!C76</f>
        <v>1000</v>
      </c>
      <c r="E24" s="13">
        <f>'DADOS TQ&amp;PORÃO'!F23*'CÁLCULO ESTABILIDADE'!D76/$D$25</f>
        <v>0.10245901639344263</v>
      </c>
      <c r="F24" s="13">
        <f>D24*'DADOS TQ&amp;PORÃO'!E23</f>
        <v>0</v>
      </c>
      <c r="G24" s="13">
        <f t="shared" si="0"/>
        <v>2126.0162601626016</v>
      </c>
      <c r="H24" s="15"/>
      <c r="I24" s="27" t="s">
        <v>122</v>
      </c>
      <c r="J24" s="14">
        <f>'DADOS TQ&amp;PORÃO'!C23</f>
        <v>95</v>
      </c>
      <c r="K24" s="14">
        <f>'CÁLCULO ESTABILIDADE'!C76</f>
        <v>1000</v>
      </c>
      <c r="L24" s="14">
        <f>(K24/'DADOS NAVIO'!$C$29)/100</f>
        <v>0.15606517216540114</v>
      </c>
      <c r="M24" s="14">
        <f t="shared" si="1"/>
        <v>95000</v>
      </c>
    </row>
    <row r="25" spans="2:13" x14ac:dyDescent="0.25">
      <c r="B25" s="134" t="s">
        <v>74</v>
      </c>
      <c r="C25" s="135"/>
      <c r="D25" s="26">
        <f>SUM(D3:D24)</f>
        <v>25010</v>
      </c>
      <c r="E25" s="31">
        <f>SUM(E11:E24)</f>
        <v>0.6117219778755163</v>
      </c>
      <c r="F25" s="31">
        <f>SUM(F11:F24)</f>
        <v>100</v>
      </c>
      <c r="G25" s="14">
        <f>SUM(G3:G24)</f>
        <v>228150.79092328344</v>
      </c>
      <c r="H25" s="15"/>
      <c r="I25" s="136" t="s">
        <v>74</v>
      </c>
      <c r="J25" s="137"/>
      <c r="K25" s="27">
        <f>SUM(K3:K24)</f>
        <v>25010</v>
      </c>
      <c r="L25" s="30">
        <f>SUM(L3:L24)</f>
        <v>4.0876444695001553</v>
      </c>
      <c r="M25" s="14">
        <f>SUM(M3:M24)</f>
        <v>-95239.4</v>
      </c>
    </row>
    <row r="26" spans="2:13" x14ac:dyDescent="0.25">
      <c r="B26" s="26" t="s">
        <v>83</v>
      </c>
      <c r="C26" s="14">
        <f>'DADOS NAVIO'!C19</f>
        <v>88902</v>
      </c>
      <c r="D26" s="15"/>
      <c r="E26" s="15"/>
      <c r="F26" s="15"/>
      <c r="G26" s="15"/>
      <c r="H26" s="15"/>
      <c r="I26" s="27" t="s">
        <v>83</v>
      </c>
      <c r="J26" s="14">
        <f>'DADOS NAVIO'!C19</f>
        <v>88902</v>
      </c>
      <c r="K26" s="15"/>
      <c r="L26" s="15"/>
      <c r="M26" s="15"/>
    </row>
    <row r="27" spans="2:13" x14ac:dyDescent="0.25">
      <c r="B27" s="26" t="s">
        <v>46</v>
      </c>
      <c r="C27" s="14">
        <f>G25/D25</f>
        <v>9.1223826838577935</v>
      </c>
      <c r="D27" s="15"/>
      <c r="E27" s="15"/>
      <c r="F27" s="15"/>
      <c r="G27" s="15"/>
      <c r="H27" s="15"/>
      <c r="I27" s="27" t="s">
        <v>47</v>
      </c>
      <c r="J27" s="14">
        <f>M25/K25</f>
        <v>-3.8080527788884444</v>
      </c>
      <c r="K27" s="15"/>
      <c r="L27" s="15"/>
      <c r="M27" s="15"/>
    </row>
    <row r="28" spans="2:13" x14ac:dyDescent="0.25">
      <c r="B28" s="26" t="s">
        <v>70</v>
      </c>
      <c r="C28" s="14">
        <f>F25/D25</f>
        <v>3.9984006397441024E-3</v>
      </c>
      <c r="D28" s="15"/>
      <c r="E28" s="15"/>
      <c r="F28" s="15"/>
      <c r="G28" s="15"/>
      <c r="H28" s="15"/>
      <c r="I28" s="27" t="s">
        <v>110</v>
      </c>
      <c r="J28" s="14">
        <f>'DADOS NAVIO'!C31</f>
        <v>-6.5553132157308713</v>
      </c>
      <c r="K28" s="15"/>
      <c r="L28" s="15"/>
      <c r="M28" s="15"/>
    </row>
    <row r="29" spans="2:13" x14ac:dyDescent="0.25">
      <c r="B29" s="26" t="s">
        <v>65</v>
      </c>
      <c r="C29" s="14">
        <f>('DADOS NAVIO'!C30-'MOMENTOS DE EST.'!C27)+'MOMENTOS DE EST.'!E25</f>
        <v>3.1791121114518019</v>
      </c>
      <c r="D29" s="15"/>
      <c r="E29" s="15"/>
      <c r="F29" s="15"/>
      <c r="G29" s="15"/>
      <c r="H29" s="15"/>
      <c r="I29" s="27" t="s">
        <v>109</v>
      </c>
      <c r="J29" s="14">
        <f>J28-'MOMENTOS DE EST.'!J27</f>
        <v>-2.7472604368424269</v>
      </c>
      <c r="K29" s="15"/>
      <c r="L29" s="15"/>
      <c r="M29" s="15"/>
    </row>
    <row r="30" spans="2:13" x14ac:dyDescent="0.25">
      <c r="B30" s="26" t="s">
        <v>113</v>
      </c>
      <c r="C30" s="14">
        <f>C28/C29</f>
        <v>1.2577098572085766E-3</v>
      </c>
      <c r="D30" s="15"/>
      <c r="E30" s="15"/>
      <c r="F30" s="15"/>
      <c r="G30" s="15"/>
      <c r="H30" s="15"/>
      <c r="I30" s="27" t="s">
        <v>108</v>
      </c>
      <c r="J30" s="14">
        <f>('MOMENTOS DE EST.'!K25*(J29)/'DADOS NAVIO'!C33)/100</f>
        <v>-0.75073937283147163</v>
      </c>
      <c r="K30" s="15"/>
      <c r="L30" s="15"/>
      <c r="M30" s="15"/>
    </row>
    <row r="31" spans="2:13" x14ac:dyDescent="0.25">
      <c r="B31" s="26" t="s">
        <v>114</v>
      </c>
      <c r="C31" s="14">
        <f>DEGREES(ATAN(C30))</f>
        <v>7.2061428673660846E-2</v>
      </c>
      <c r="I31" s="27" t="s">
        <v>106</v>
      </c>
      <c r="J31" s="14">
        <f xml:space="preserve"> 'DADOS NAVIO'!C35*'MOMENTOS DE EST.'!J30/'DADOS NAVIO'!C3</f>
        <v>-0.35784611713850073</v>
      </c>
    </row>
    <row r="32" spans="2:13" x14ac:dyDescent="0.25">
      <c r="I32" s="27" t="s">
        <v>107</v>
      </c>
      <c r="J32" s="14">
        <f>('DADOS NAVIO'!C36*'MOMENTOS DE EST.'!J30/'DADOS NAVIO'!C3)*-1</f>
        <v>0.3928932556929709</v>
      </c>
    </row>
    <row r="33" spans="2:10" x14ac:dyDescent="0.25">
      <c r="J33" s="15"/>
    </row>
    <row r="36" spans="2:10" ht="18.75" x14ac:dyDescent="0.3">
      <c r="B36" s="48"/>
      <c r="C36" s="48"/>
      <c r="D36" s="48"/>
      <c r="E36" s="48"/>
    </row>
  </sheetData>
  <mergeCells count="2">
    <mergeCell ref="B25:C25"/>
    <mergeCell ref="I25:J25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59A4B-D626-4DC7-85B5-FF1154ADFD7E}">
  <dimension ref="B2:I24"/>
  <sheetViews>
    <sheetView zoomScale="148" zoomScaleNormal="148" workbookViewId="0">
      <selection activeCell="B15" sqref="B15"/>
    </sheetView>
  </sheetViews>
  <sheetFormatPr defaultRowHeight="15" x14ac:dyDescent="0.25"/>
  <cols>
    <col min="2" max="2" width="13.7109375" bestFit="1" customWidth="1"/>
    <col min="3" max="3" width="26.5703125" bestFit="1" customWidth="1"/>
    <col min="4" max="4" width="17.7109375" customWidth="1"/>
    <col min="5" max="5" width="21" bestFit="1" customWidth="1"/>
    <col min="6" max="6" width="19.140625" bestFit="1" customWidth="1"/>
    <col min="7" max="8" width="17.5703125" customWidth="1"/>
    <col min="9" max="9" width="19.5703125" bestFit="1" customWidth="1"/>
  </cols>
  <sheetData>
    <row r="2" spans="2:9" x14ac:dyDescent="0.25">
      <c r="B2" s="6" t="s">
        <v>10</v>
      </c>
      <c r="C2" s="6" t="s">
        <v>33</v>
      </c>
      <c r="D2" s="6" t="s">
        <v>57</v>
      </c>
      <c r="E2" s="6" t="s">
        <v>44</v>
      </c>
      <c r="F2" s="6" t="s">
        <v>11</v>
      </c>
      <c r="G2" s="6" t="s">
        <v>56</v>
      </c>
      <c r="H2" s="6" t="s">
        <v>59</v>
      </c>
      <c r="I2" s="6" t="s">
        <v>58</v>
      </c>
    </row>
    <row r="3" spans="2:9" x14ac:dyDescent="0.25">
      <c r="B3" s="5" t="s">
        <v>12</v>
      </c>
      <c r="C3" s="13">
        <v>-88.1</v>
      </c>
      <c r="D3" s="13">
        <v>2</v>
      </c>
      <c r="E3" s="13">
        <v>0</v>
      </c>
      <c r="F3" s="54" t="s">
        <v>34</v>
      </c>
      <c r="G3" s="14">
        <v>12969</v>
      </c>
      <c r="H3" s="14">
        <v>19.7</v>
      </c>
      <c r="I3" s="55">
        <f>G3/H3</f>
        <v>658.32487309644671</v>
      </c>
    </row>
    <row r="4" spans="2:9" x14ac:dyDescent="0.25">
      <c r="B4" s="5" t="s">
        <v>13</v>
      </c>
      <c r="C4" s="13">
        <v>-62.5</v>
      </c>
      <c r="D4" s="13">
        <v>2</v>
      </c>
      <c r="E4" s="13">
        <v>0</v>
      </c>
      <c r="F4" s="54" t="s">
        <v>34</v>
      </c>
      <c r="G4" s="14">
        <v>12230</v>
      </c>
      <c r="H4" s="14">
        <v>19.2</v>
      </c>
      <c r="I4" s="55">
        <f t="shared" ref="I4:I23" si="0">G4/H4</f>
        <v>636.97916666666674</v>
      </c>
    </row>
    <row r="5" spans="2:9" x14ac:dyDescent="0.25">
      <c r="B5" s="5" t="s">
        <v>14</v>
      </c>
      <c r="C5" s="13">
        <v>-36.5</v>
      </c>
      <c r="D5" s="13">
        <v>2</v>
      </c>
      <c r="E5" s="13">
        <v>0</v>
      </c>
      <c r="F5" s="54" t="s">
        <v>34</v>
      </c>
      <c r="G5" s="14">
        <v>12541</v>
      </c>
      <c r="H5" s="14">
        <v>19.2</v>
      </c>
      <c r="I5" s="55">
        <f t="shared" si="0"/>
        <v>653.17708333333337</v>
      </c>
    </row>
    <row r="6" spans="2:9" x14ac:dyDescent="0.25">
      <c r="B6" s="5" t="s">
        <v>15</v>
      </c>
      <c r="C6" s="13">
        <v>-10.1</v>
      </c>
      <c r="D6" s="13">
        <v>2</v>
      </c>
      <c r="E6" s="13">
        <v>0</v>
      </c>
      <c r="F6" s="54" t="s">
        <v>34</v>
      </c>
      <c r="G6" s="14">
        <v>12568</v>
      </c>
      <c r="H6" s="14">
        <v>19.2</v>
      </c>
      <c r="I6" s="55">
        <f t="shared" si="0"/>
        <v>654.58333333333337</v>
      </c>
    </row>
    <row r="7" spans="2:9" x14ac:dyDescent="0.25">
      <c r="B7" s="5" t="s">
        <v>16</v>
      </c>
      <c r="C7" s="13">
        <v>16.399999999999999</v>
      </c>
      <c r="D7" s="13">
        <v>2</v>
      </c>
      <c r="E7" s="13">
        <v>0</v>
      </c>
      <c r="F7" s="54" t="s">
        <v>34</v>
      </c>
      <c r="G7" s="14">
        <v>12606</v>
      </c>
      <c r="H7" s="14">
        <v>19.2</v>
      </c>
      <c r="I7" s="55">
        <f t="shared" si="0"/>
        <v>656.5625</v>
      </c>
    </row>
    <row r="8" spans="2:9" x14ac:dyDescent="0.25">
      <c r="B8" s="5" t="s">
        <v>17</v>
      </c>
      <c r="C8" s="13">
        <v>42.8</v>
      </c>
      <c r="D8" s="13">
        <v>2</v>
      </c>
      <c r="E8" s="13">
        <v>0</v>
      </c>
      <c r="F8" s="54" t="s">
        <v>34</v>
      </c>
      <c r="G8" s="14">
        <v>12579</v>
      </c>
      <c r="H8" s="14">
        <v>19.2</v>
      </c>
      <c r="I8" s="55">
        <f t="shared" si="0"/>
        <v>655.15625</v>
      </c>
    </row>
    <row r="9" spans="2:9" x14ac:dyDescent="0.25">
      <c r="B9" s="5" t="s">
        <v>18</v>
      </c>
      <c r="C9" s="13">
        <v>69.3</v>
      </c>
      <c r="D9" s="13">
        <v>2</v>
      </c>
      <c r="E9" s="13">
        <v>0</v>
      </c>
      <c r="F9" s="54" t="s">
        <v>34</v>
      </c>
      <c r="G9" s="14">
        <v>12565</v>
      </c>
      <c r="H9" s="14">
        <v>19.2</v>
      </c>
      <c r="I9" s="55">
        <f t="shared" si="0"/>
        <v>654.42708333333337</v>
      </c>
    </row>
    <row r="10" spans="2:9" x14ac:dyDescent="0.25">
      <c r="B10" s="2" t="s">
        <v>20</v>
      </c>
      <c r="C10" s="13">
        <v>-75.3</v>
      </c>
      <c r="D10" s="13">
        <v>0.5</v>
      </c>
      <c r="E10" s="13">
        <v>-10</v>
      </c>
      <c r="F10" s="54">
        <f>I10*100/12</f>
        <v>894.44444444444434</v>
      </c>
      <c r="G10" s="14">
        <v>161</v>
      </c>
      <c r="H10" s="14">
        <v>1.5</v>
      </c>
      <c r="I10" s="55">
        <f t="shared" si="0"/>
        <v>107.33333333333333</v>
      </c>
    </row>
    <row r="11" spans="2:9" x14ac:dyDescent="0.25">
      <c r="B11" s="3" t="s">
        <v>21</v>
      </c>
      <c r="C11" s="13">
        <v>-75.3</v>
      </c>
      <c r="D11" s="13">
        <v>0.5</v>
      </c>
      <c r="E11" s="13">
        <v>0</v>
      </c>
      <c r="F11" s="54">
        <f t="shared" ref="F11:F23" si="1">I11*100/12</f>
        <v>850</v>
      </c>
      <c r="G11" s="14">
        <v>153</v>
      </c>
      <c r="H11" s="14">
        <v>1.5</v>
      </c>
      <c r="I11" s="55">
        <f t="shared" si="0"/>
        <v>102</v>
      </c>
    </row>
    <row r="12" spans="2:9" x14ac:dyDescent="0.25">
      <c r="B12" s="4" t="s">
        <v>22</v>
      </c>
      <c r="C12" s="13">
        <v>-75.3</v>
      </c>
      <c r="D12" s="13">
        <v>0.5</v>
      </c>
      <c r="E12" s="13">
        <v>10</v>
      </c>
      <c r="F12" s="54">
        <f t="shared" si="1"/>
        <v>883.33333333333337</v>
      </c>
      <c r="G12" s="14">
        <v>159</v>
      </c>
      <c r="H12" s="14">
        <v>1.5</v>
      </c>
      <c r="I12" s="55">
        <f t="shared" si="0"/>
        <v>106</v>
      </c>
    </row>
    <row r="13" spans="2:9" x14ac:dyDescent="0.25">
      <c r="B13" s="2" t="s">
        <v>23</v>
      </c>
      <c r="C13" s="13">
        <v>-36.5</v>
      </c>
      <c r="D13" s="13">
        <v>0.5</v>
      </c>
      <c r="E13" s="13">
        <v>-10</v>
      </c>
      <c r="F13" s="54">
        <f t="shared" si="1"/>
        <v>877.77777777777771</v>
      </c>
      <c r="G13" s="14">
        <v>158</v>
      </c>
      <c r="H13" s="14">
        <v>1.5</v>
      </c>
      <c r="I13" s="55">
        <f t="shared" si="0"/>
        <v>105.33333333333333</v>
      </c>
    </row>
    <row r="14" spans="2:9" x14ac:dyDescent="0.25">
      <c r="B14" s="3" t="s">
        <v>24</v>
      </c>
      <c r="C14" s="13">
        <v>-36.5</v>
      </c>
      <c r="D14" s="13">
        <v>0.5</v>
      </c>
      <c r="E14" s="13">
        <v>0</v>
      </c>
      <c r="F14" s="54">
        <f t="shared" si="1"/>
        <v>911.11111111111097</v>
      </c>
      <c r="G14" s="14">
        <v>164</v>
      </c>
      <c r="H14" s="14">
        <v>1.5</v>
      </c>
      <c r="I14" s="55">
        <f t="shared" si="0"/>
        <v>109.33333333333333</v>
      </c>
    </row>
    <row r="15" spans="2:9" x14ac:dyDescent="0.25">
      <c r="B15" s="4" t="s">
        <v>25</v>
      </c>
      <c r="C15" s="13">
        <v>-36.5</v>
      </c>
      <c r="D15" s="13">
        <v>0.5</v>
      </c>
      <c r="E15" s="13">
        <v>10</v>
      </c>
      <c r="F15" s="54">
        <f t="shared" si="1"/>
        <v>900</v>
      </c>
      <c r="G15" s="14">
        <v>162</v>
      </c>
      <c r="H15" s="14">
        <v>1.5</v>
      </c>
      <c r="I15" s="55">
        <f t="shared" si="0"/>
        <v>108</v>
      </c>
    </row>
    <row r="16" spans="2:9" x14ac:dyDescent="0.25">
      <c r="B16" s="2" t="s">
        <v>26</v>
      </c>
      <c r="C16" s="13">
        <v>3.15</v>
      </c>
      <c r="D16" s="13">
        <v>0.5</v>
      </c>
      <c r="E16" s="13">
        <v>-10</v>
      </c>
      <c r="F16" s="54">
        <f t="shared" si="1"/>
        <v>833.33333333333337</v>
      </c>
      <c r="G16" s="14">
        <v>150</v>
      </c>
      <c r="H16" s="14">
        <v>1.5</v>
      </c>
      <c r="I16" s="55">
        <f t="shared" si="0"/>
        <v>100</v>
      </c>
    </row>
    <row r="17" spans="2:9" x14ac:dyDescent="0.25">
      <c r="B17" s="3" t="s">
        <v>27</v>
      </c>
      <c r="C17" s="13">
        <v>3.15</v>
      </c>
      <c r="D17" s="13">
        <v>0.5</v>
      </c>
      <c r="E17" s="13">
        <v>0</v>
      </c>
      <c r="F17" s="54">
        <f t="shared" si="1"/>
        <v>827.77777777777771</v>
      </c>
      <c r="G17" s="14">
        <v>149</v>
      </c>
      <c r="H17" s="14">
        <v>1.5</v>
      </c>
      <c r="I17" s="55">
        <f t="shared" si="0"/>
        <v>99.333333333333329</v>
      </c>
    </row>
    <row r="18" spans="2:9" x14ac:dyDescent="0.25">
      <c r="B18" s="4" t="s">
        <v>28</v>
      </c>
      <c r="C18" s="13">
        <v>3.15</v>
      </c>
      <c r="D18" s="13">
        <v>0.5</v>
      </c>
      <c r="E18" s="13">
        <v>10</v>
      </c>
      <c r="F18" s="54">
        <f t="shared" si="1"/>
        <v>833.33333333333337</v>
      </c>
      <c r="G18" s="14">
        <v>150</v>
      </c>
      <c r="H18" s="14">
        <v>1.5</v>
      </c>
      <c r="I18" s="55">
        <f t="shared" si="0"/>
        <v>100</v>
      </c>
    </row>
    <row r="19" spans="2:9" x14ac:dyDescent="0.25">
      <c r="B19" s="2" t="s">
        <v>29</v>
      </c>
      <c r="C19" s="13">
        <v>56.05</v>
      </c>
      <c r="D19" s="13">
        <v>0.5</v>
      </c>
      <c r="E19" s="13">
        <v>-10</v>
      </c>
      <c r="F19" s="54">
        <f t="shared" si="1"/>
        <v>872.22222222222229</v>
      </c>
      <c r="G19" s="14">
        <v>157</v>
      </c>
      <c r="H19" s="14">
        <v>1.5</v>
      </c>
      <c r="I19" s="55">
        <f t="shared" si="0"/>
        <v>104.66666666666667</v>
      </c>
    </row>
    <row r="20" spans="2:9" x14ac:dyDescent="0.25">
      <c r="B20" s="3" t="s">
        <v>30</v>
      </c>
      <c r="C20" s="13">
        <v>56.05</v>
      </c>
      <c r="D20" s="13">
        <v>0.5</v>
      </c>
      <c r="E20" s="13">
        <v>0</v>
      </c>
      <c r="F20" s="54">
        <f t="shared" si="1"/>
        <v>833.33333333333337</v>
      </c>
      <c r="G20" s="14">
        <v>150</v>
      </c>
      <c r="H20" s="14">
        <v>1.5</v>
      </c>
      <c r="I20" s="55">
        <f t="shared" si="0"/>
        <v>100</v>
      </c>
    </row>
    <row r="21" spans="2:9" x14ac:dyDescent="0.25">
      <c r="B21" s="4" t="s">
        <v>31</v>
      </c>
      <c r="C21" s="13">
        <v>56.05</v>
      </c>
      <c r="D21" s="13">
        <v>0.5</v>
      </c>
      <c r="E21" s="13">
        <v>10</v>
      </c>
      <c r="F21" s="54">
        <f t="shared" si="1"/>
        <v>905.55555555555566</v>
      </c>
      <c r="G21" s="14">
        <v>163</v>
      </c>
      <c r="H21" s="14">
        <v>1.5</v>
      </c>
      <c r="I21" s="55">
        <f t="shared" si="0"/>
        <v>108.66666666666667</v>
      </c>
    </row>
    <row r="22" spans="2:9" x14ac:dyDescent="0.25">
      <c r="B22" s="5" t="s">
        <v>121</v>
      </c>
      <c r="C22" s="13">
        <v>-105</v>
      </c>
      <c r="D22" s="13">
        <v>0.5</v>
      </c>
      <c r="E22" s="13">
        <v>0</v>
      </c>
      <c r="F22" s="54">
        <f>I22*100/12</f>
        <v>2222.2222222222222</v>
      </c>
      <c r="G22" s="53">
        <v>400</v>
      </c>
      <c r="H22" s="53">
        <v>1.5</v>
      </c>
      <c r="I22" s="56">
        <f t="shared" si="0"/>
        <v>266.66666666666669</v>
      </c>
    </row>
    <row r="23" spans="2:9" x14ac:dyDescent="0.25">
      <c r="B23" s="5" t="s">
        <v>122</v>
      </c>
      <c r="C23" s="13">
        <v>95</v>
      </c>
      <c r="D23" s="13">
        <v>0.5</v>
      </c>
      <c r="E23" s="13">
        <v>0</v>
      </c>
      <c r="F23" s="54">
        <f t="shared" si="1"/>
        <v>2500</v>
      </c>
      <c r="G23" s="53">
        <v>450</v>
      </c>
      <c r="H23" s="53">
        <v>1.5</v>
      </c>
      <c r="I23" s="56">
        <f t="shared" si="0"/>
        <v>300</v>
      </c>
    </row>
    <row r="24" spans="2:9" ht="18.75" x14ac:dyDescent="0.3">
      <c r="B24" s="48"/>
      <c r="C24" s="48"/>
      <c r="D24" s="48"/>
      <c r="E24" s="48"/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96B6-1D23-474D-80C6-D13E99914C02}">
  <dimension ref="A1:E39"/>
  <sheetViews>
    <sheetView zoomScale="87" zoomScaleNormal="130" workbookViewId="0">
      <selection activeCell="Q17" sqref="Q17"/>
    </sheetView>
  </sheetViews>
  <sheetFormatPr defaultRowHeight="15" x14ac:dyDescent="0.25"/>
  <cols>
    <col min="2" max="2" width="25" bestFit="1" customWidth="1"/>
    <col min="3" max="3" width="28.42578125" customWidth="1"/>
  </cols>
  <sheetData>
    <row r="1" spans="2:3" x14ac:dyDescent="0.25">
      <c r="B1" s="139" t="s">
        <v>61</v>
      </c>
      <c r="C1" s="139"/>
    </row>
    <row r="2" spans="2:3" x14ac:dyDescent="0.25">
      <c r="B2" s="10" t="s">
        <v>32</v>
      </c>
      <c r="C2" s="36" t="s">
        <v>126</v>
      </c>
    </row>
    <row r="3" spans="2:3" x14ac:dyDescent="0.25">
      <c r="B3" s="10" t="s">
        <v>35</v>
      </c>
      <c r="C3" s="14">
        <v>230</v>
      </c>
    </row>
    <row r="4" spans="2:3" x14ac:dyDescent="0.25">
      <c r="B4" s="10" t="s">
        <v>103</v>
      </c>
      <c r="C4" s="55">
        <f>C3/2</f>
        <v>115</v>
      </c>
    </row>
    <row r="5" spans="2:3" x14ac:dyDescent="0.25">
      <c r="B5" s="10" t="s">
        <v>123</v>
      </c>
      <c r="C5" s="58">
        <v>15</v>
      </c>
    </row>
    <row r="6" spans="2:3" x14ac:dyDescent="0.25">
      <c r="B6" s="10" t="s">
        <v>54</v>
      </c>
      <c r="C6" s="14">
        <v>32.200000000000003</v>
      </c>
    </row>
    <row r="7" spans="2:3" ht="6" customHeight="1" x14ac:dyDescent="0.25">
      <c r="B7" s="12"/>
      <c r="C7" s="16"/>
    </row>
    <row r="8" spans="2:3" x14ac:dyDescent="0.25">
      <c r="B8" s="7" t="s">
        <v>37</v>
      </c>
      <c r="C8" s="14">
        <v>2.2570000000000001</v>
      </c>
    </row>
    <row r="9" spans="2:3" x14ac:dyDescent="0.25">
      <c r="B9" s="7" t="s">
        <v>36</v>
      </c>
      <c r="C9" s="14">
        <v>13280</v>
      </c>
    </row>
    <row r="10" spans="2:3" x14ac:dyDescent="0.25">
      <c r="B10" s="7" t="s">
        <v>50</v>
      </c>
      <c r="C10" s="14">
        <v>12</v>
      </c>
    </row>
    <row r="11" spans="2:3" x14ac:dyDescent="0.25">
      <c r="B11" s="7" t="s">
        <v>38</v>
      </c>
      <c r="C11" s="14">
        <v>11.2</v>
      </c>
    </row>
    <row r="12" spans="2:3" x14ac:dyDescent="0.25">
      <c r="B12" s="7" t="s">
        <v>39</v>
      </c>
      <c r="C12" s="14">
        <v>14.72</v>
      </c>
    </row>
    <row r="13" spans="2:3" x14ac:dyDescent="0.25">
      <c r="B13" s="7" t="s">
        <v>40</v>
      </c>
      <c r="C13" s="14">
        <v>62.99</v>
      </c>
    </row>
    <row r="14" spans="2:3" x14ac:dyDescent="0.25">
      <c r="B14" s="7" t="s">
        <v>41</v>
      </c>
      <c r="C14" s="14">
        <v>871.471</v>
      </c>
    </row>
    <row r="15" spans="2:3" x14ac:dyDescent="0.25">
      <c r="B15" s="7" t="s">
        <v>90</v>
      </c>
      <c r="C15" s="14">
        <v>-7.0629999999999997</v>
      </c>
    </row>
    <row r="16" spans="2:3" x14ac:dyDescent="0.25">
      <c r="B16" s="7" t="s">
        <v>91</v>
      </c>
      <c r="C16" s="14">
        <v>-6.5469999999999997</v>
      </c>
    </row>
    <row r="17" spans="1:3" ht="6" customHeight="1" x14ac:dyDescent="0.25">
      <c r="B17" s="11"/>
      <c r="C17" s="17"/>
    </row>
    <row r="18" spans="1:3" x14ac:dyDescent="0.25">
      <c r="B18" s="9" t="s">
        <v>51</v>
      </c>
      <c r="C18" s="14">
        <v>13.6</v>
      </c>
    </row>
    <row r="19" spans="1:3" x14ac:dyDescent="0.25">
      <c r="B19" s="9" t="s">
        <v>49</v>
      </c>
      <c r="C19" s="14">
        <v>88902</v>
      </c>
    </row>
    <row r="20" spans="1:3" x14ac:dyDescent="0.25">
      <c r="B20" s="9" t="s">
        <v>52</v>
      </c>
      <c r="C20" s="14">
        <v>10</v>
      </c>
    </row>
    <row r="21" spans="1:3" x14ac:dyDescent="0.25">
      <c r="B21" s="9" t="s">
        <v>53</v>
      </c>
      <c r="C21" s="14">
        <v>69.989999999999995</v>
      </c>
    </row>
    <row r="22" spans="1:3" x14ac:dyDescent="0.25">
      <c r="B22" s="9" t="s">
        <v>55</v>
      </c>
      <c r="C22" s="14">
        <v>1153.5</v>
      </c>
    </row>
    <row r="23" spans="1:3" x14ac:dyDescent="0.25">
      <c r="B23" s="9" t="s">
        <v>88</v>
      </c>
      <c r="C23" s="14">
        <v>-3.79</v>
      </c>
    </row>
    <row r="24" spans="1:3" x14ac:dyDescent="0.25">
      <c r="B24" s="9" t="s">
        <v>89</v>
      </c>
      <c r="C24" s="14">
        <v>1.05</v>
      </c>
    </row>
    <row r="25" spans="1:3" x14ac:dyDescent="0.25">
      <c r="B25" s="9" t="s">
        <v>60</v>
      </c>
      <c r="C25" s="14">
        <f>C19-C9</f>
        <v>75622</v>
      </c>
    </row>
    <row r="26" spans="1:3" ht="6" customHeight="1" x14ac:dyDescent="0.25">
      <c r="B26" s="33"/>
      <c r="C26" s="33"/>
    </row>
    <row r="27" spans="1:3" x14ac:dyDescent="0.25">
      <c r="A27" s="138" t="s">
        <v>100</v>
      </c>
      <c r="B27" s="34" t="s">
        <v>92</v>
      </c>
      <c r="C27" s="55">
        <f>C8+ (C28-C9)/(C19-C9)*(C18-C8)</f>
        <v>4.0164534659226154</v>
      </c>
    </row>
    <row r="28" spans="1:3" x14ac:dyDescent="0.25">
      <c r="A28" s="138"/>
      <c r="B28" s="34" t="s">
        <v>99</v>
      </c>
      <c r="C28" s="55">
        <f>'MOMENTOS DE EST.'!D25</f>
        <v>25010</v>
      </c>
    </row>
    <row r="29" spans="1:3" x14ac:dyDescent="0.25">
      <c r="A29" s="138"/>
      <c r="B29" s="34" t="s">
        <v>94</v>
      </c>
      <c r="C29" s="55">
        <f>C13+ ($C$28-$C$9)/($C$19-$C$9)*(C21-C13)</f>
        <v>64.075795138980723</v>
      </c>
    </row>
    <row r="30" spans="1:3" x14ac:dyDescent="0.25">
      <c r="A30" s="138"/>
      <c r="B30" s="34" t="s">
        <v>95</v>
      </c>
      <c r="C30" s="55">
        <f>C10+($C$28-$C$9)/($C$19-$C$9)*(C20-C10)</f>
        <v>11.689772817434079</v>
      </c>
    </row>
    <row r="31" spans="1:3" x14ac:dyDescent="0.25">
      <c r="A31" s="138"/>
      <c r="B31" s="34" t="s">
        <v>96</v>
      </c>
      <c r="C31" s="55">
        <f>C15+ ($C$28-$C$9)/($C$19-$C$9)*(C23-C15)</f>
        <v>-6.5553132157308713</v>
      </c>
    </row>
    <row r="32" spans="1:3" x14ac:dyDescent="0.25">
      <c r="A32" s="138"/>
      <c r="B32" s="34" t="s">
        <v>97</v>
      </c>
      <c r="C32" s="55">
        <f>C16+ ($C$28-$C$9)/($C$19-$C$9)*(C24-C16)</f>
        <v>-5.3686020470233533</v>
      </c>
    </row>
    <row r="33" spans="1:5" x14ac:dyDescent="0.25">
      <c r="A33" s="138"/>
      <c r="B33" s="34" t="s">
        <v>98</v>
      </c>
      <c r="C33" s="55">
        <f>C14+ ($C$28-$C$9)/($C$19-$C$9)*(C22-C14)</f>
        <v>915.21753103594187</v>
      </c>
    </row>
    <row r="34" spans="1:5" ht="7.5" customHeight="1" x14ac:dyDescent="0.25">
      <c r="A34" s="1"/>
      <c r="B34" s="11"/>
      <c r="C34" s="11"/>
    </row>
    <row r="35" spans="1:5" x14ac:dyDescent="0.25">
      <c r="B35" s="37" t="s">
        <v>104</v>
      </c>
      <c r="C35" s="55">
        <f>C4+C32</f>
        <v>109.63139795297664</v>
      </c>
    </row>
    <row r="36" spans="1:5" x14ac:dyDescent="0.25">
      <c r="B36" s="37" t="s">
        <v>105</v>
      </c>
      <c r="C36" s="55">
        <f>C4-C32</f>
        <v>120.36860204702336</v>
      </c>
    </row>
    <row r="39" spans="1:5" ht="18.75" x14ac:dyDescent="0.3">
      <c r="B39" s="140" t="s">
        <v>117</v>
      </c>
      <c r="C39" s="140"/>
      <c r="D39" s="140"/>
      <c r="E39" s="140"/>
    </row>
  </sheetData>
  <mergeCells count="3">
    <mergeCell ref="A27:A33"/>
    <mergeCell ref="B1:C1"/>
    <mergeCell ref="B39:E39"/>
  </mergeCells>
  <pageMargins left="0.511811024" right="0.511811024" top="0.78740157499999996" bottom="0.78740157499999996" header="0.31496062000000002" footer="0.31496062000000002"/>
  <ignoredErrors>
    <ignoredError sqref="C3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CÁLCULO ESTABILIDADE</vt:lpstr>
      <vt:lpstr>MOMENTOS DE EST.</vt:lpstr>
      <vt:lpstr>DADOS TQ&amp;PORÃO</vt:lpstr>
      <vt:lpstr>DADOS NAVIO</vt:lpstr>
      <vt:lpstr>'CÁLCULO ESTABILIDADE'!Area_de_impressao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G.A. da Silva</dc:creator>
  <cp:lastModifiedBy>César Dias</cp:lastModifiedBy>
  <dcterms:created xsi:type="dcterms:W3CDTF">2015-06-05T18:19:34Z</dcterms:created>
  <dcterms:modified xsi:type="dcterms:W3CDTF">2026-06-03T23:57:17Z</dcterms:modified>
</cp:coreProperties>
</file>